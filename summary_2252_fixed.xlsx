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056463a9d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5c816ad724864409"/>
  </x:sheets>
</x:workbook>
</file>

<file path=xl/sharedStrings.xml><?xml version="1.0" encoding="utf-8"?>
<x:sst xmlns:x="http://schemas.openxmlformats.org/spreadsheetml/2006/main">
  <x:si>
    <x:t xml:space="preserve">Сведения по фонду оплаты труда по реальному сектору плательщиков Аршалынскому района за 2024 год</x:t>
  </x:si>
  <x:si>
    <x:t xml:space="preserve">Код ОКЭД</x:t>
  </x:si>
  <x:si>
    <x:t xml:space="preserve">Вид деятельности</x:t>
  </x:si>
  <x:si>
    <x:t xml:space="preserve">Количество НП</x:t>
  </x:si>
  <x:si>
    <x:t xml:space="preserve"> Средняя численность работников</x:t>
  </x:si>
  <x:si>
    <x:t xml:space="preserve">Сумма по полю ФОТ</x:t>
  </x:si>
  <x:si>
    <x:t xml:space="preserve">Сумма по полю ср.зп</x:t>
  </x:si>
  <x:si>
    <x:t xml:space="preserve">ИПН</x:t>
  </x:si>
  <x:si>
    <x:t xml:space="preserve">СН</x:t>
  </x:si>
  <x:si>
    <x:t xml:space="preserve">Сумма налогов</x:t>
  </x:si>
  <x:si>
    <x:t xml:space="preserve">Удельный вес %</x:t>
  </x:si>
  <x:si>
    <x:t xml:space="preserve">01111</x:t>
  </x:si>
  <x:si>
    <x:t xml:space="preserve">Выращивание зерновых и зернобобовых культур, включая семеноводство</x:t>
  </x:si>
  <x:si>
    <x:t xml:space="preserve">01131</x:t>
  </x:si>
  <x:si>
    <x:t xml:space="preserve">Выращивание картофеля и посадочного материала</x:t>
  </x:si>
  <x:si>
    <x:t xml:space="preserve">01132</x:t>
  </x:si>
  <x:si>
    <x:t xml:space="preserve">Выращивание овощей, их семян и рассады</x:t>
  </x:si>
  <x:si>
    <x:t xml:space="preserve">01410</x:t>
  </x:si>
  <x:si>
    <x:t xml:space="preserve">Разведение крупного рогатого скота молочного направления</x:t>
  </x:si>
  <x:si>
    <x:t xml:space="preserve">01420</x:t>
  </x:si>
  <x:si>
    <x:t xml:space="preserve">Разведение прочего крупного рогатого скота и буйволов</x:t>
  </x:si>
  <x:si>
    <x:t xml:space="preserve">01431</x:t>
  </x:si>
  <x:si>
    <x:t xml:space="preserve">Разведение лошадей</x:t>
  </x:si>
  <x:si>
    <x:t xml:space="preserve">01450</x:t>
  </x:si>
  <x:si>
    <x:t xml:space="preserve">Разведение овец и коз</x:t>
  </x:si>
  <x:si>
    <x:t xml:space="preserve">01471</x:t>
  </x:si>
  <x:si>
    <x:t xml:space="preserve">Разведение птицы на мясо, племенной птицы и молодняка</x:t>
  </x:si>
  <x:si>
    <x:t xml:space="preserve">01472</x:t>
  </x:si>
  <x:si>
    <x:t xml:space="preserve">ПРОИЗВОДСТВО ЯИЦ</x:t>
  </x:si>
  <x:si>
    <x:t xml:space="preserve">01490</x:t>
  </x:si>
  <x:si>
    <x:t xml:space="preserve">РАЗВЕДЕНИЕ ПРОЧИХ ВИДОВ ЖИВОТНЫХ</x:t>
  </x:si>
  <x:si>
    <x:t xml:space="preserve">01500</x:t>
  </x:si>
  <x:si>
    <x:t xml:space="preserve">СМЕШАННОЕ СЕЛЬСКОЕ ХОЗЯЙСТВО</x:t>
  </x:si>
  <x:si>
    <x:t xml:space="preserve">03120</x:t>
  </x:si>
  <x:si>
    <x:t xml:space="preserve">Пресноводное рыболовство</x:t>
  </x:si>
  <x:si>
    <x:t xml:space="preserve">03220</x:t>
  </x:si>
  <x:si>
    <x:t xml:space="preserve">Пресноводное рыбоводство</x:t>
  </x:si>
  <x:si>
    <x:t xml:space="preserve">08111</x:t>
  </x:si>
  <x:si>
    <x:t xml:space="preserve">Добыча отделочного и строительного камня</x:t>
  </x:si>
  <x:si>
    <x:t xml:space="preserve">08121</x:t>
  </x:si>
  <x:si>
    <x:t xml:space="preserve">Разработка гравийных и песчаных карьеров</x:t>
  </x:si>
  <x:si>
    <x:t xml:space="preserve">09900</x:t>
  </x:si>
  <x:si>
    <x:t xml:space="preserve">Предоставление услуг, способствующих добыче других полезных ископаемых</x:t>
  </x:si>
  <x:si>
    <x:t xml:space="preserve">10120</x:t>
  </x:si>
  <x:si>
    <x:t xml:space="preserve">Переработка и консервирование мяса сельскохозяйственной птицы</x:t>
  </x:si>
  <x:si>
    <x:t xml:space="preserve">10130</x:t>
  </x:si>
  <x:si>
    <x:t xml:space="preserve">Производство продуктов из мяса и мяса сельскохозяйственной птицы</x:t>
  </x:si>
  <x:si>
    <x:t xml:space="preserve">10511</x:t>
  </x:si>
  <x:si>
    <x:t xml:space="preserve">Переработка молока, кроме консервирования, и производство сыров</x:t>
  </x:si>
  <x:si>
    <x:t xml:space="preserve">10710</x:t>
  </x:si>
  <x:si>
    <x:t xml:space="preserve">Производство хлебобулочных и мучных кондитерских изделий недлительного хранения</x:t>
  </x:si>
  <x:si>
    <x:t xml:space="preserve">10720</x:t>
  </x:si>
  <x:si>
    <x:t xml:space="preserve">Производство сухарей и печенья, мучных кондитерских изделий длительного хранения</x:t>
  </x:si>
  <x:si>
    <x:t xml:space="preserve">10850</x:t>
  </x:si>
  <x:si>
    <x:t xml:space="preserve">ПРОИЗВОДСТВО ГОТОВЫХ ПИЩЕВЫХ ПРОДУКТОВ</x:t>
  </x:si>
  <x:si>
    <x:t xml:space="preserve">13920</x:t>
  </x:si>
  <x:si>
    <x:t xml:space="preserve">ПРОИЗВОДСТВО ГОТОВЫХ ТЕКСТИЛЬНЫХ ИЗДЕЛИЙ, КРОМЕ ОДЕЖДЫ</x:t>
  </x:si>
  <x:si>
    <x:t xml:space="preserve">22210</x:t>
  </x:si>
  <x:si>
    <x:t xml:space="preserve">Производство пластмассовых плит, листов, труб и профилей</x:t>
  </x:si>
  <x:si>
    <x:t xml:space="preserve">22220</x:t>
  </x:si>
  <x:si>
    <x:t xml:space="preserve">Производство пластмассовых упаковок для товаров</x:t>
  </x:si>
  <x:si>
    <x:t xml:space="preserve">23320</x:t>
  </x:si>
  <x:si>
    <x:t xml:space="preserve">ПРОИЗВОДСТВО КИРПИЧА, ЧЕРЕПИЦЫ И ПРОЧИХ СТРОИТЕЛЬНЫХ ИЗДЕЛИЙ ИЗ ОБОЖЖЕННОЙ ГЛИНЫ</x:t>
  </x:si>
  <x:si>
    <x:t xml:space="preserve">23611</x:t>
  </x:si>
  <x:si>
    <x:t xml:space="preserve">Производство сборных железобетонных и бетонных конструкций и изделий</x:t>
  </x:si>
  <x:si>
    <x:t xml:space="preserve">23612</x:t>
  </x:si>
  <x:si>
    <x:t xml:space="preserve">ПРОИЗВОДСТВО СТЕНОВЫХ БЛОКОВ</x:t>
  </x:si>
  <x:si>
    <x:t xml:space="preserve">23630</x:t>
  </x:si>
  <x:si>
    <x:t xml:space="preserve">ПРОИЗВОДСТВО ТОВАРНОГО БЕТОНА</x:t>
  </x:si>
  <x:si>
    <x:t xml:space="preserve">23700</x:t>
  </x:si>
  <x:si>
    <x:t xml:space="preserve">РЕЗКА, ОБРАБОТКА И ОТДЕЛКА КАМНЯ</x:t>
  </x:si>
  <x:si>
    <x:t xml:space="preserve">25940</x:t>
  </x:si>
  <x:si>
    <x:t xml:space="preserve">Производство крепежных и резьбовых изделий</x:t>
  </x:si>
  <x:si>
    <x:t xml:space="preserve">27120</x:t>
  </x:si>
  <x:si>
    <x:t xml:space="preserve">Производство электрораспределительной и регулирующей аппаратуры</x:t>
  </x:si>
  <x:si>
    <x:t xml:space="preserve">27320</x:t>
  </x:si>
  <x:si>
    <x:t xml:space="preserve">Производство прочих электрических проводов и кабелей</x:t>
  </x:si>
  <x:si>
    <x:t xml:space="preserve">28252</x:t>
  </x:si>
  <x:si>
    <x:t xml:space="preserve">Производство кондиционеров воздуха, вентиляторов</x:t>
  </x:si>
  <x:si>
    <x:t xml:space="preserve">31012</x:t>
  </x:si>
  <x:si>
    <x:t xml:space="preserve">Производство мебели для офисов и предприятий торговли, кроме стульев и другой мебели для сидения</x:t>
  </x:si>
  <x:si>
    <x:t xml:space="preserve">31090</x:t>
  </x:si>
  <x:si>
    <x:t xml:space="preserve">Производство прочей мебели</x:t>
  </x:si>
  <x:si>
    <x:t xml:space="preserve">32999</x:t>
  </x:si>
  <x:si>
    <x:t xml:space="preserve">Производство прочих изделий</x:t>
  </x:si>
  <x:si>
    <x:t xml:space="preserve">33141</x:t>
  </x:si>
  <x:si>
    <x:t xml:space="preserve">Ремонт и техническое обслуживание электродвигателей, генераторов и трансформаторов</x:t>
  </x:si>
  <x:si>
    <x:t xml:space="preserve">35114</x:t>
  </x:si>
  <x:si>
    <x:t xml:space="preserve">Производство электроэнергии ветровыми электростанциями</x:t>
  </x:si>
  <x:si>
    <x:t xml:space="preserve">35119</x:t>
  </x:si>
  <x:si>
    <x:t xml:space="preserve">ПРОИЗВОДСТВО ЭЛЕКТРОЭНЕРГИИ ПРОЧИМИ ЭЛЕКТРОСТАНЦИЯМИ</x:t>
  </x:si>
  <x:si>
    <x:t xml:space="preserve">36000</x:t>
  </x:si>
  <x:si>
    <x:t xml:space="preserve">Забор, обработка и распределение воды</x:t>
  </x:si>
  <x:si>
    <x:t xml:space="preserve">38220</x:t>
  </x:si>
  <x:si>
    <x:t xml:space="preserve">ОБРАБОТКА И УДАЛЕНИЕ ОПАСНЫХ ОТХОДОВ</x:t>
  </x:si>
  <x:si>
    <x:t xml:space="preserve">38323</x:t>
  </x:si>
  <x:si>
    <x:t xml:space="preserve">Переработка неметаллических отходов</x:t>
  </x:si>
  <x:si>
    <x:t xml:space="preserve">41201</x:t>
  </x:si>
  <x:si>
    <x:t xml:space="preserve">Строительство жилых зданий</x:t>
  </x:si>
  <x:si>
    <x:t xml:space="preserve">41202</x:t>
  </x:si>
  <x:si>
    <x:t xml:space="preserve">Строительство нежилых зданий, за исключением стационарных торговых объектов категорий 1, 2</x:t>
  </x:si>
  <x:si>
    <x:t xml:space="preserve">42111</x:t>
  </x:si>
  <x:si>
    <x:t xml:space="preserve">СТРОИТЕЛЬСТВО ДОРОГ И АВТОМАГИСТРАЛЕЙ</x:t>
  </x:si>
  <x:si>
    <x:t xml:space="preserve">42219</x:t>
  </x:si>
  <x:si>
    <x:t xml:space="preserve">Строительство прочих трубопроводов</x:t>
  </x:si>
  <x:si>
    <x:t xml:space="preserve">42990</x:t>
  </x:si>
  <x:si>
    <x:t xml:space="preserve">СТРОИТЕЛЬСТВО ПРОЧИХ ИНЖЕНЕРНЫХ СООРУЖЕНИЙ, НЕ ВКЛЮЧЕННЫХ В ДРУГИЕ ГРУППИРОВКИ</x:t>
  </x:si>
  <x:si>
    <x:t xml:space="preserve">43219</x:t>
  </x:si>
  <x:si>
    <x:t xml:space="preserve">Прочие электромонтажные работы</x:t>
  </x:si>
  <x:si>
    <x:t xml:space="preserve">43220</x:t>
  </x:si>
  <x:si>
    <x:t xml:space="preserve">МОНТАЖ СИСТЕМ ВОДОСНАБЖЕНИЯ, ОТОПЛЕНИЯ И КОНДИЦИОНИРОВАНИЯ ВОЗДУХА</x:t>
  </x:si>
  <x:si>
    <x:t xml:space="preserve">43298</x:t>
  </x:si>
  <x:si>
    <x:t xml:space="preserve">Прочие строительно-монтажные работы, не включенные в другие группировки</x:t>
  </x:si>
  <x:si>
    <x:t xml:space="preserve">43390</x:t>
  </x:si>
  <x:si>
    <x:t xml:space="preserve">ПРОЧИЕ ОТДЕЛОЧНЫЕ РАБОТЫ</x:t>
  </x:si>
  <x:si>
    <x:t xml:space="preserve">43999</x:t>
  </x:si>
  <x:si>
    <x:t xml:space="preserve">Прочие строительные работы, требующие специальной квалификации</x:t>
  </x:si>
  <x:si>
    <x:t xml:space="preserve">45201</x:t>
  </x:si>
  <x:si>
    <x:t xml:space="preserve"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x:t>
  </x:si>
  <x:si>
    <x:t xml:space="preserve">45321</x:t>
  </x:si>
  <x:si>
    <x:t xml:space="preserve">Розничная торговля автомобильными деталями, узлами и принадлежностями в торговых объектах с торговой площадью менее 2000 кв.м</x:t>
  </x:si>
  <x:si>
    <x:t xml:space="preserve">46130</x:t>
  </x:si>
  <x:si>
    <x:t xml:space="preserve">Деятельность агентов по оптовой торговле древесиной и строительными материалами</x:t>
  </x:si>
  <x:si>
    <x:t xml:space="preserve">46190</x:t>
  </x:si>
  <x:si>
    <x:t xml:space="preserve">Деятельность агентов по оптовой торговле товарами широкого ассортимента</x:t>
  </x:si>
  <x:si>
    <x:t xml:space="preserve">46211</x:t>
  </x:si>
  <x:si>
    <x:t xml:space="preserve">Оптовая торговля зерном, семенами и кормами для животных</x:t>
  </x:si>
  <x:si>
    <x:t xml:space="preserve">46310</x:t>
  </x:si>
  <x:si>
    <x:t xml:space="preserve">Оптовая торговля фруктами и овощами</x:t>
  </x:si>
  <x:si>
    <x:t xml:space="preserve">46341</x:t>
  </x:si>
  <x:si>
    <x:t xml:space="preserve">Оптовая торговля напитками в магазинах, являющихся торговыми объектами, с торговой площадью менее 2000 кв.м</x:t>
  </x:si>
  <x:si>
    <x:t xml:space="preserve">46499</x:t>
  </x:si>
  <x:si>
    <x:t xml:space="preserve">Оптовая торговля прочими непродовольственными товарами потребительского назначения, не включенными в другие группировки</x:t>
  </x:si>
  <x:si>
    <x:t xml:space="preserve">46610</x:t>
  </x:si>
  <x:si>
    <x:t xml:space="preserve">Оптовая торговля сельскохозяйственной техникой, оборудованием, деталями и принадлежностями к ним</x:t>
  </x:si>
  <x:si>
    <x:t xml:space="preserve">46690</x:t>
  </x:si>
  <x:si>
    <x:t xml:space="preserve">Оптовая торговля прочими машинами и оборудованием</x:t>
  </x:si>
  <x:si>
    <x:t xml:space="preserve">46713</x:t>
  </x:si>
  <x:si>
    <x:t xml:space="preserve">ОПТОВАЯ ТОРГОВЛЯ КАМЕННЫМ УГЛЕМ</x:t>
  </x:si>
  <x:si>
    <x:t xml:space="preserve">46716</x:t>
  </x:si>
  <x:si>
    <x:t xml:space="preserve">ОПТОВАЯ ТОРГОВЛЯ АВТОМОБИЛЬНЫМ БЕНЗИНОМ</x:t>
  </x:si>
  <x:si>
    <x:t xml:space="preserve">46733</x:t>
  </x:si>
  <x:si>
    <x:t xml:space="preserve">ОПТОВАЯ ТОРГОВЛЯ ИЗДЕЛИЯМИ ИЗ БЕТОНА, ЦЕМЕНТА, ГИПСА И АНАЛОГИЧНЫХ МАТЕРИАЛОВ</x:t>
  </x:si>
  <x:si>
    <x:t xml:space="preserve">46736</x:t>
  </x:si>
  <x:si>
    <x:t xml:space="preserve">Оптовая торговля строительными металлическими конструкциями</x:t>
  </x:si>
  <x:si>
    <x:t xml:space="preserve">46740</x:t>
  </x:si>
  <x:si>
    <x:t xml:space="preserve">Оптовая торговля скобяными изделиями, водопроводным и отопительным оборудованием и инвентарем</x:t>
  </x:si>
  <x:si>
    <x:t xml:space="preserve">46753</x:t>
  </x:si>
  <x:si>
    <x:t xml:space="preserve">ОПТОВАЯ ТОРГОВЛЯ МИНЕРАЛЬНЫМИ УДОБРЕНИЯМИ</x:t>
  </x:si>
  <x:si>
    <x:t xml:space="preserve">46771</x:t>
  </x:si>
  <x:si>
    <x:t xml:space="preserve">ОПТОВАЯ ТОРГОВЛЯ ЛОМОМ И ОТХОДАМИ ЧЕРНЫХ И ЦВЕТНЫХ МЕТАЛЛОВ</x:t>
  </x:si>
  <x:si>
    <x:t xml:space="preserve">46908</x:t>
  </x:si>
  <x:si>
    <x:t xml:space="preserve">СПЕЦИАЛИЗИРОВАННАЯ ОПТОВАЯ ТОРГОВЛЯ ТОВАРАМИ, НЕ ВКЛЮЧЕННЫМИ В ДРУГИЕ ГРУППИРОВКИ</x:t>
  </x:si>
  <x:si>
    <x:t xml:space="preserve">46909</x:t>
  </x:si>
  <x:si>
    <x:t xml:space="preserve">ОПТОВАЯ ТОРГОВЛЯ ШИРОКИМ АССОРТИМЕНТОМ ТОВАРОВ БЕЗ КАКОЙ-ЛИБО КОНКРЕТИЗАЦИИ</x:t>
  </x:si>
  <x:si>
    <x:t xml:space="preserve">47111</x:t>
  </x:si>
  <x:si>
    <x:t xml:space="preserve"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</x:t>
  </x:si>
  <x:si>
    <x:t xml:space="preserve">47191</x:t>
  </x:si>
  <x:si>
    <x:t xml:space="preserve">ПРОЧАЯ РОЗНИЧНАЯ ТОРГОВЛЯ В НЕСПЕЦИАЛИЗИРОВАННЫХ МАГАЗИНАХ, ЯВЛЯЮЩИХСЯ ТОРГОВЫМИ ОБЪЕКТАМИ, С ТОРГОВОЙ ПЛОЩАДЬЮ МЕНЕЕ 2000 КВ.М</x:t>
  </x:si>
  <x:si>
    <x:t xml:space="preserve">47192</x:t>
  </x:si>
  <x:si>
    <x:t xml:space="preserve">ПРОЧАЯ РОЗНИЧНАЯ ТОРГОВЛЯ В НЕСПЕЦИАЛИЗИРОВАННЫХ МАГАЗИНАХ, ЯВЛЯЮЩИХСЯ ТОРГОВЫМИ ОБЪЕКТАМИ, С ТОРГОВОЙ ПЛОЩАДЬЮ БОЛЕЕ 2000 КВ.М (2000 КВ.М И ВЫШЕ)</x:t>
  </x:si>
  <x:si>
    <x:t xml:space="preserve">47224</x:t>
  </x:si>
  <x:si>
    <x:t xml:space="preserve"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</x:t>
  </x:si>
  <x:si>
    <x:t xml:space="preserve">47291</x:t>
  </x:si>
  <x:si>
    <x:t xml:space="preserve">Прочая розничная торговля продуктами питания в специализированных магазинах, являющихся торговыми объектами, с торговой площадью менее 2000 кв.м</x:t>
  </x:si>
  <x:si>
    <x:t xml:space="preserve">47591</x:t>
  </x:si>
  <x:si>
    <x:t xml:space="preserve">РОЗНИЧНАЯ ТОРГОВЛЯ МЕБЕЛЬЮ В СПЕЦИАЛИЗИРОВАННЫХ МАГАЗИНАХ, ЯВЛЯЮЩИХСЯ ТОРГОВЫМИ ОБЪЕКТАМИ, С ТОРГОВОЙ ПЛОЩАДЬЮ МЕНЕЕ 2000 КВ.М</x:t>
  </x:si>
  <x:si>
    <x:t xml:space="preserve">47731</x:t>
  </x:si>
  <x:si>
    <x:t xml:space="preserve">Розничная торговля фармацевтическими товарами в специализированных магазинах, являющихся торговыми объектами, с торговой площадью менее 2000 кв.м</x:t>
  </x:si>
  <x:si>
    <x:t xml:space="preserve">47789</x:t>
  </x:si>
  <x:si>
    <x:t xml:space="preserve">ПРОЧАЯ РОЗНИЧНАЯ ТОРГОВЛЯ В СПЕЦИАЛИЗИРОВАННЫХ МАГАЗИНАХ, ЯВЛЯЮЩИХСЯ ТОРГОВЫМИ ОБЪЕКТАМИ, С ТОРГОВОЙ ПЛОЩАДЬЮ МЕНЕЕ 2000 КВ.М</x:t>
  </x:si>
  <x:si>
    <x:t xml:space="preserve">47892</x:t>
  </x:si>
  <x:si>
    <x:t xml:space="preserve">РОЗНИЧНАЯ ТОРГОВЛЯ ПРОЧИМИ ТОВАРАМИ НА РЫНКАХ</x:t>
  </x:si>
  <x:si>
    <x:t xml:space="preserve">47910</x:t>
  </x:si>
  <x:si>
    <x:t xml:space="preserve">Розничная торговля путем заказа товаров по почте или через сеть интернет</x:t>
  </x:si>
  <x:si>
    <x:t xml:space="preserve">47999</x:t>
  </x:si>
  <x:si>
    <x:t xml:space="preserve">ПРОЧАЯ РОЗНИЧНАЯ ТОРГОВЛЯ ВНЕ МАГАЗИНОВ</x:t>
  </x:si>
  <x:si>
    <x:t xml:space="preserve">49410</x:t>
  </x:si>
  <x:si>
    <x:t xml:space="preserve">ДЕЯТЕЛЬНОСТЬ ГРУЗОВОГО АВТОМОБИЛЬНОГО ТРАНСПОРТА</x:t>
  </x:si>
  <x:si>
    <x:t xml:space="preserve">49420</x:t>
  </x:si>
  <x:si>
    <x:t xml:space="preserve">ПРЕДОСТАВЛЕНИЕ УСЛУГ ПО ПЕРЕЕЗДУ</x:t>
  </x:si>
  <x:si>
    <x:t xml:space="preserve">52101</x:t>
  </x:si>
  <x:si>
    <x:t xml:space="preserve">СКЛАДИРОВАНИЕ И ХРАНЕНИЕ ЗЕРНА</x:t>
  </x:si>
  <x:si>
    <x:t xml:space="preserve">52103</x:t>
  </x:si>
  <x:si>
    <x:t xml:space="preserve">Складирование и хранение продовольственных товаров, кроме овощей и фруктов</x:t>
  </x:si>
  <x:si>
    <x:t xml:space="preserve">52213</x:t>
  </x:si>
  <x:si>
    <x:t xml:space="preserve">ДЕЯТЕЛЬНОСТЬ ТЕРМИНАЛОВ</x:t>
  </x:si>
  <x:si>
    <x:t xml:space="preserve">52291</x:t>
  </x:si>
  <x:si>
    <x:t xml:space="preserve">ТРАНСПОРТНО-ЭКСПЕДИЦИОННЫЕ УСЛУГИ</x:t>
  </x:si>
  <x:si>
    <x:t xml:space="preserve">55101</x:t>
  </x:si>
  <x:si>
    <x:t xml:space="preserve">ПРЕДОСТАВЛЕНИЕ УСЛУГ ГОСТИНИЦАМИ С РЕСТОРАНАМИ, ЗА ИСКЛЮЧЕНИЕМ ГОСТИНИЦ, НАХОДЯЩИХСЯ НА ПРИДОРОЖНОЙ ПОЛОСЕ</x:t>
  </x:si>
  <x:si>
    <x:t xml:space="preserve">56101</x:t>
  </x:si>
  <x:si>
    <x:t xml:space="preserve"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x:t>
  </x:si>
  <x:si>
    <x:t xml:space="preserve">56291</x:t>
  </x:si>
  <x:si>
    <x:t xml:space="preserve">Прочие виды организации питания вне населенных пунктов</x:t>
  </x:si>
  <x:si>
    <x:t xml:space="preserve">56299</x:t>
  </x:si>
  <x:si>
    <x:t xml:space="preserve">ПРОЧАЯ ДЕЯТЕЛЬНОСТЬ ПО ОБЕСПЕЧЕНИЮ ПИТАНИЕМ, НЕ ВКЛЮЧЕННАЯ В ДРУГИЕ ГРУППИРОВКИ</x:t>
  </x:si>
  <x:si>
    <x:t xml:space="preserve">58130</x:t>
  </x:si>
  <x:si>
    <x:t xml:space="preserve">ИЗДАНИЕ ГАЗЕТ</x:t>
  </x:si>
  <x:si>
    <x:t xml:space="preserve">61909</x:t>
  </x:si>
  <x:si>
    <x:t xml:space="preserve">Прочая деятельность в области телекоммуникаций, не включенная в другие группировки</x:t>
  </x:si>
  <x:si>
    <x:t xml:space="preserve">62011</x:t>
  </x:si>
  <x:si>
    <x:t xml:space="preserve">Деятельность в области разработки и тестирования программного кода</x:t>
  </x:si>
  <x:si>
    <x:t xml:space="preserve">64929</x:t>
  </x:si>
  <x:si>
    <x:t xml:space="preserve">Прочие виды кредитования, не включенные в другие группировки</x:t>
  </x:si>
  <x:si>
    <x:t xml:space="preserve">65122</x:t>
  </x:si>
  <x:si>
    <x:t xml:space="preserve">Негосударственное страхование ущерба</x:t>
  </x:si>
  <x:si>
    <x:t xml:space="preserve">68201</x:t>
  </x:si>
  <x:si>
    <x:t xml:space="preserve">Аренда (субаренда) и управление собственной или арендованной жилой недвижимостью</x:t>
  </x:si>
  <x:si>
    <x:t xml:space="preserve">68202</x:t>
  </x:si>
  <x:si>
    <x:t xml:space="preserve">Аренда (субаренда) и управление собственными или арендованными бизнес-центром, офисными помещениями, административным зданием</x:t>
  </x:si>
  <x:si>
    <x:t xml:space="preserve">68312</x:t>
  </x:si>
  <x:si>
    <x:t xml:space="preserve">Посреднические услуги при купле-продаже и сдаче внаем жилья и другого недвижимого имущества непроизводственного назначения</x:t>
  </x:si>
  <x:si>
    <x:t xml:space="preserve">68321</x:t>
  </x:si>
  <x:si>
    <x:t xml:space="preserve">Управление недвижимостью за вознаграждение или на договорной основе</x:t>
  </x:si>
  <x:si>
    <x:t xml:space="preserve">69109</x:t>
  </x:si>
  <x:si>
    <x:t xml:space="preserve">ПРОЧАЯ ДЕЯТЕЛЬНОСТЬ В ОБЛАСТИ ПРАВА</x:t>
  </x:si>
  <x:si>
    <x:t xml:space="preserve">69202</x:t>
  </x:si>
  <x:si>
    <x:t xml:space="preserve">Деятельность в области составления счетов и бухгалтерского учета</x:t>
  </x:si>
  <x:si>
    <x:t xml:space="preserve">70221</x:t>
  </x:si>
  <x:si>
    <x:t xml:space="preserve">Консультирование по вопросам коммерческой деятельности и управления</x:t>
  </x:si>
  <x:si>
    <x:t xml:space="preserve">71112</x:t>
  </x:si>
  <x:si>
    <x:t xml:space="preserve">ДЕЯТЕЛЬНОСТЬ В ОБЛАСТИ АРХИТЕКТУРЫ, ЗА ИСКЛЮЧЕНИЕМ ОБЪЕКТОВ АТОМНОЙ ПРОМЫШЛЕННОСТИ И АТОМНОЙ ЭНЕРГЕТИКИ</x:t>
  </x:si>
  <x:si>
    <x:t xml:space="preserve">71122</x:t>
  </x:si>
  <x:si>
    <x:t xml:space="preserve">Деятельность по проведению геологической разведки и изысканий (без научных исследований и разработок)</x:t>
  </x:si>
  <x:si>
    <x:t xml:space="preserve">74300</x:t>
  </x:si>
  <x:si>
    <x:t xml:space="preserve">Деятельность по устному и письменному переводу</x:t>
  </x:si>
  <x:si>
    <x:t xml:space="preserve">75000</x:t>
  </x:si>
  <x:si>
    <x:t xml:space="preserve">Ветеринарная деятельность</x:t>
  </x:si>
  <x:si>
    <x:t xml:space="preserve">77111</x:t>
  </x:si>
  <x:si>
    <x:t xml:space="preserve">Аренда автомобилей и легковых автомобилей</x:t>
  </x:si>
  <x:si>
    <x:t xml:space="preserve">77311</x:t>
  </x:si>
  <x:si>
    <x:t xml:space="preserve">Аренда сельскохозяйственной техники и оборудования</x:t>
  </x:si>
  <x:si>
    <x:t xml:space="preserve">Аренда прочих машин, оборудования и материальных активов, не включенных в другие группировки</x:t>
  </x:si>
  <x:si>
    <x:t xml:space="preserve">80101</x:t>
  </x:si>
  <x:si>
    <x:t xml:space="preserve">Деятельность частных охранных служб</x:t>
  </x:si>
  <x:si>
    <x:t xml:space="preserve">80200</x:t>
  </x:si>
  <x:si>
    <x:t xml:space="preserve">Деятельность в области систем обеспечения безопасности</x:t>
  </x:si>
  <x:si>
    <x:t xml:space="preserve">81300</x:t>
  </x:si>
  <x:si>
    <x:t xml:space="preserve">Деятельность по благоустройству территорий</x:t>
  </x:si>
  <x:si>
    <x:t xml:space="preserve">82990</x:t>
  </x:si>
  <x:si>
    <x:t xml:space="preserve">Прочая деятельность по предоставлению вспомогательных коммерческих услуг, не включенная в другие группировки</x:t>
  </x:si>
  <x:si>
    <x:t xml:space="preserve">84113</x:t>
  </x:si>
  <x:si>
    <x:t xml:space="preserve">ДЕЯТЕЛЬНОСТЬ МЕСТНЫХ ОРГАНОВ УПРАВЛЕНИЯ</x:t>
  </x:si>
  <x:si>
    <x:t xml:space="preserve">84114</x:t>
  </x:si>
  <x:si>
    <x:t xml:space="preserve">ДЕЯТЕЛЬНОСТЬ СЕЛЬСКИХ И ПОСЕЛКОВЫХ ОРГАНОВ УПРАВЛЕНИЯ</x:t>
  </x:si>
  <x:si>
    <x:t xml:space="preserve">84120</x:t>
  </x:si>
  <x:si>
    <x:t xml:space="preserve">Регулирование деятельности учреждений здравоохранения, образования, культуры и других социальных услуг, кроме социального обеспечения</x:t>
  </x:si>
  <x:si>
    <x:t xml:space="preserve">84130</x:t>
  </x:si>
  <x:si>
    <x:t xml:space="preserve">РЕГУЛИРОВАНИЕ И СОДЕЙСТВИЕ ЭФФЕКТИВНОМУ ВЕДЕНИЮ ЭКОНОМИЧЕСКОЙ ДЕЯТЕЛЬНОСТИ</x:t>
  </x:si>
  <x:si>
    <x:t xml:space="preserve">84230</x:t>
  </x:si>
  <x:si>
    <x:t xml:space="preserve">Деятельность в области юстиции и правосудия</x:t>
  </x:si>
  <x:si>
    <x:t xml:space="preserve">85100</x:t>
  </x:si>
  <x:si>
    <x:t xml:space="preserve">ДОШКОЛЬНОЕ ОБРАЗОВАНИЕ</x:t>
  </x:si>
  <x:si>
    <x:t xml:space="preserve">85200</x:t>
  </x:si>
  <x:si>
    <x:t xml:space="preserve">НАЧАЛЬНОЕ ОБРАЗОВАНИЕ (1-Й УРОВЕНЬ)</x:t>
  </x:si>
  <x:si>
    <x:t xml:space="preserve">85310</x:t>
  </x:si>
  <x:si>
    <x:t xml:space="preserve">ОСНОВНОЕ И ОБЩЕЕ СРЕДНЕЕ ОБРАЗОВАНИЕ</x:t>
  </x:si>
  <x:si>
    <x:t xml:space="preserve">85321</x:t>
  </x:si>
  <x:si>
    <x:t xml:space="preserve">Профессионально-техническое образование</x:t>
  </x:si>
  <x:si>
    <x:t xml:space="preserve">85510</x:t>
  </x:si>
  <x:si>
    <x:t xml:space="preserve">Образование в области спорта и отдыха</x:t>
  </x:si>
  <x:si>
    <x:t xml:space="preserve">85520</x:t>
  </x:si>
  <x:si>
    <x:t xml:space="preserve">Образование в области культуры</x:t>
  </x:si>
  <x:si>
    <x:t xml:space="preserve">85530</x:t>
  </x:si>
  <x:si>
    <x:t xml:space="preserve">Деятельность школ подготовки водителей транспортных средств</x:t>
  </x:si>
  <x:si>
    <x:t xml:space="preserve">85591</x:t>
  </x:si>
  <x:si>
    <x:t xml:space="preserve">ДЕЯТЕЛЬНОСТЬ ВЕЧЕРНИХ ОБЩЕОБРАЗОВАТЕЛЬНЫХ ШКОЛ</x:t>
  </x:si>
  <x:si>
    <x:t xml:space="preserve">85599</x:t>
  </x:si>
  <x:si>
    <x:t xml:space="preserve">Прочая деятельность в области образования, не включенная в другие группировки</x:t>
  </x:si>
  <x:si>
    <x:t xml:space="preserve">86101</x:t>
  </x:si>
  <x:si>
    <x:t xml:space="preserve">ДЕЯТЕЛЬНОСТЬ БОЛЬНИЦ ШИРОКОГО ПРОФИЛЯ И СПЕЦИАЛИЗИРОВАННЫХ БОЛЬНИЦ</x:t>
  </x:si>
  <x:si>
    <x:t xml:space="preserve">86230</x:t>
  </x:si>
  <x:si>
    <x:t xml:space="preserve">СТОМАТОЛОГИЧЕСКАЯ ДЕЯТЕЛЬНОСТЬ</x:t>
  </x:si>
  <x:si>
    <x:t xml:space="preserve">86909</x:t>
  </x:si>
  <x:si>
    <x:t xml:space="preserve">ПРОЧАЯ ДЕЯТЕЛЬНОСТЬ В ОБЛАСТИ ЗДРАВООХРАНЕНИЯ, НЕ ВКЛЮЧЕННАЯ В ДРУГИЕ ГРУППИРОВКИ</x:t>
  </x:si>
  <x:si>
    <x:t xml:space="preserve">88100</x:t>
  </x:si>
  <x:si>
    <x:t xml:space="preserve">Предоставление социальных услуг без обеспечения проживания пожилым гражданам и инвалидам</x:t>
  </x:si>
  <x:si>
    <x:t xml:space="preserve">91012</x:t>
  </x:si>
  <x:si>
    <x:t xml:space="preserve">БИБЛИОТЕЧНАЯ ДЕЯТЕЛЬНОСТЬ, ВКЛЮЧАЯ ДЕЯТЕЛЬНОСТЬ ЧИТАЛЬНЫХ ЗАЛОВ, ЛЕКТОРИЕВ, ДЕМОНСТРАЦИОННЫХ ЗАЛОВ</x:t>
  </x:si>
  <x:si>
    <x:t xml:space="preserve">91013</x:t>
  </x:si>
  <x:si>
    <x:t xml:space="preserve">Деятельность архивов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</x:si>
</x:sst>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/>
    <x:xf numFmtId="3" fontId="0" fillId="0" borderId="0" xfId="0" applyNumberFormat="1" applyAlignment="1">
      <x:alignment horizontal="center"/>
    </x:xf>
    <x:xf numFmtId="3" fontId="1" fillId="0" borderId="1" xfId="0" applyNumberFormat="1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left"/>
    </x:xf>
    <x:xf numFmtId="3" fontId="0" fillId="0" borderId="1" xfId="0" applyNumberFormat="1" applyBorder="1" applyAlignment="1">
      <x:alignment horizontal="center"/>
    </x:xf>
    <x:xf numFmtId="4" fontId="0" fillId="0" borderId="1" xfId="0" applyNumberFormat="1" applyBorder="1" applyAlignment="1">
      <x:alignment horizont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a91660cde4e66" /><Relationship Type="http://schemas.openxmlformats.org/officeDocument/2006/relationships/theme" Target="/xl/theme/theme1.xml" Id="R59ff0eb62d344b6d" /><Relationship Type="http://schemas.openxmlformats.org/officeDocument/2006/relationships/sharedStrings" Target="/xl/sharedStrings.xml" Id="R72fe756851944e00" /><Relationship Type="http://schemas.openxmlformats.org/officeDocument/2006/relationships/worksheet" Target="/xl/worksheets/sheet1.xml" Id="R5c816ad7248644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 ht="15.5">
      <x:c r="A1" s="1"/>
      <x:c r="B1" s="2" t="s">
        <x:v>0</x:v>
      </x:c>
      <x:c r="C1" s="3"/>
      <x:c r="D1" s="3"/>
      <x:c r="E1" s="3"/>
      <x:c r="F1" s="3"/>
      <x:c r="G1" s="3"/>
      <x:c r="H1" s="3"/>
    </x:row>
    <x:row r="2">
      <x:c r="A2" s="1"/>
      <x:c r="B2" s="1"/>
      <x:c r="C2" s="3"/>
      <x:c r="D2" s="3"/>
      <x:c r="E2" s="3"/>
      <x:c r="F2" s="3"/>
      <x:c r="G2" s="3"/>
      <x:c r="H2" s="3"/>
    </x:row>
    <x:row r="3" ht="9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5" t="s">
        <x:v>9</x:v>
      </x:c>
      <x:c r="J3" s="5" t="s">
        <x:v>10</x:v>
      </x:c>
    </x:row>
    <x:row r="4">
      <x:c r="A4" s="6"/>
      <x:c r="B4" s="7"/>
      <x:c r="C4" s="8"/>
      <x:c r="D4" s="8"/>
      <x:c r="E4" s="8"/>
      <x:c r="F4" s="8" t="str">
        <x:f>IF(AND(D4&gt;0,E4&lt;&gt;""),E4/D4/12,"")</x:f>
      </x:c>
      <x:c r="G4" s="8"/>
      <x:c r="H4" s="8"/>
      <x:c r="I4" s="8"/>
      <x:c r="J4" s="9" t="n">
        <x:f>IF($I$141&gt;0,I4/$I$141*100,"")</x:f>
        <x:v>0</x:v>
      </x:c>
    </x:row>
    <x:row r="5">
      <x:c r="A5" s="6" t="s">
        <x:v>11</x:v>
      </x:c>
      <x:c r="B5" s="7" t="s">
        <x:v>12</x:v>
      </x:c>
      <x:c r="C5" s="8">
        <x:v>42</x:v>
      </x:c>
      <x:c r="D5" s="8">
        <x:v>402.16666666666663</x:v>
      </x:c>
      <x:c r="E5" s="8">
        <x:v>837336807</x:v>
      </x:c>
      <x:c r="F5" s="8" t="n">
        <x:f>IF(AND(D5&gt;0,E5&lt;&gt;""),E5/D5/12,"")</x:f>
        <x:v>173505.34749274762</x:v>
      </x:c>
      <x:c r="G5" s="8">
        <x:v>54197936</x:v>
      </x:c>
      <x:c r="H5" s="8">
        <x:v>37716436</x:v>
      </x:c>
      <x:c r="I5" s="8">
        <x:v>91914372</x:v>
      </x:c>
      <x:c r="J5" s="9" t="n">
        <x:f t="shared" ref="J5:J68" si="0">IF($I$141&gt;0,I5/$I$141*100,"")</x:f>
        <x:v>4.78135123134587</x:v>
      </x:c>
    </x:row>
    <x:row r="6">
      <x:c r="A6" s="6" t="s">
        <x:v>13</x:v>
      </x:c>
      <x:c r="B6" s="7" t="s">
        <x:v>14</x:v>
      </x:c>
      <x:c r="C6" s="8">
        <x:v>1</x:v>
      </x:c>
      <x:c r="D6" s="8"/>
      <x:c r="E6" s="8"/>
      <x:c r="F6" s="8" t="str">
        <x:f t="shared" ref="F6:F69" si="1">IF(AND(D6&gt;0,E6&lt;&gt;""),E6/D6/12,"")</x:f>
      </x:c>
      <x:c r="G6" s="8"/>
      <x:c r="H6" s="8"/>
      <x:c r="I6" s="8">
        <x:v>0</x:v>
      </x:c>
      <x:c r="J6" s="9" t="n">
        <x:f t="shared" si="0">IF($I$141&gt;0,I6/$I$141*100,"")</x:f>
        <x:v>0</x:v>
      </x:c>
    </x:row>
    <x:row r="7">
      <x:c r="A7" s="6" t="s">
        <x:v>15</x:v>
      </x:c>
      <x:c r="B7" s="7" t="s">
        <x:v>16</x:v>
      </x:c>
      <x:c r="C7" s="8">
        <x:v>1</x:v>
      </x:c>
      <x:c r="D7" s="8">
        <x:v>1</x:v>
      </x:c>
      <x:c r="E7" s="8">
        <x:v>1680952</x:v>
      </x:c>
      <x:c r="F7" s="8" t="n">
        <x:f t="shared" si="1">IF(AND(D7&gt;0,E7&lt;&gt;""),E7/D7/12,"")</x:f>
        <x:v>140079.33333333334</x:v>
      </x:c>
      <x:c r="G7" s="8">
        <x:v>147923</x:v>
      </x:c>
      <x:c r="H7" s="8">
        <x:v>87577</x:v>
      </x:c>
      <x:c r="I7" s="8">
        <x:v>235500</x:v>
      </x:c>
      <x:c r="J7" s="9" t="n">
        <x:f t="shared" si="0">IF($I$141&gt;0,I7/$I$141*100,"")</x:f>
        <x:v>0.012250621861203083</x:v>
      </x:c>
    </x:row>
    <x:row r="8">
      <x:c r="A8" s="6" t="s">
        <x:v>17</x:v>
      </x:c>
      <x:c r="B8" s="7" t="s">
        <x:v>18</x:v>
      </x:c>
      <x:c r="C8" s="8">
        <x:v>4</x:v>
      </x:c>
      <x:c r="D8" s="8"/>
      <x:c r="E8" s="8"/>
      <x:c r="F8" s="8" t="str">
        <x:f t="shared" si="1">IF(AND(D8&gt;0,E8&lt;&gt;""),E8/D8/12,"")</x:f>
      </x:c>
      <x:c r="G8" s="8"/>
      <x:c r="H8" s="8"/>
      <x:c r="I8" s="8">
        <x:v>0</x:v>
      </x:c>
      <x:c r="J8" s="9" t="n">
        <x:f t="shared" si="0">IF($I$141&gt;0,I8/$I$141*100,"")</x:f>
        <x:v>0</x:v>
      </x:c>
    </x:row>
    <x:row r="9">
      <x:c r="A9" s="6" t="s">
        <x:v>19</x:v>
      </x:c>
      <x:c r="B9" s="7" t="s">
        <x:v>20</x:v>
      </x:c>
      <x:c r="C9" s="8">
        <x:v>8</x:v>
      </x:c>
      <x:c r="D9" s="8">
        <x:v>12.888888888888889</x:v>
      </x:c>
      <x:c r="E9" s="8">
        <x:v>18309249</x:v>
      </x:c>
      <x:c r="F9" s="8" t="n">
        <x:f t="shared" si="1">IF(AND(D9&gt;0,E9&lt;&gt;""),E9/D9/12,"")</x:f>
        <x:v>118378.7650862069</x:v>
      </x:c>
      <x:c r="G9" s="8">
        <x:v>1096304</x:v>
      </x:c>
      <x:c r="H9" s="8">
        <x:v>1020518</x:v>
      </x:c>
      <x:c r="I9" s="8">
        <x:v>2116822</x:v>
      </x:c>
      <x:c r="J9" s="9" t="n">
        <x:f t="shared" si="0">IF($I$141&gt;0,I9/$I$141*100,"")</x:f>
        <x:v>0.11011628819310247</x:v>
      </x:c>
    </x:row>
    <x:row r="10">
      <x:c r="A10" s="6" t="s">
        <x:v>21</x:v>
      </x:c>
      <x:c r="B10" s="7" t="s">
        <x:v>22</x:v>
      </x:c>
      <x:c r="C10" s="8">
        <x:v>3</x:v>
      </x:c>
      <x:c r="D10" s="8">
        <x:v>4.333333333333333</x:v>
      </x:c>
      <x:c r="E10" s="8">
        <x:v>11877693</x:v>
      </x:c>
      <x:c r="F10" s="8" t="n">
        <x:f t="shared" si="1">IF(AND(D10&gt;0,E10&lt;&gt;""),E10/D10/12,"")</x:f>
        <x:v>228417.1730769231</x:v>
      </x:c>
      <x:c r="G10" s="8">
        <x:v>931975</x:v>
      </x:c>
      <x:c r="H10" s="8">
        <x:v>771017</x:v>
      </x:c>
      <x:c r="I10" s="8">
        <x:v>1702992</x:v>
      </x:c>
      <x:c r="J10" s="9" t="n">
        <x:f t="shared" si="0">IF($I$141&gt;0,I10/$I$141*100,"")</x:f>
        <x:v>0.08858900647411448</x:v>
      </x:c>
    </x:row>
    <x:row r="11">
      <x:c r="A11" s="6" t="s">
        <x:v>23</x:v>
      </x:c>
      <x:c r="B11" s="7" t="s">
        <x:v>24</x:v>
      </x:c>
      <x:c r="C11" s="8">
        <x:v>3</x:v>
      </x:c>
      <x:c r="D11" s="8">
        <x:v>3.375</x:v>
      </x:c>
      <x:c r="E11" s="8">
        <x:v>5325403</x:v>
      </x:c>
      <x:c r="F11" s="8" t="n">
        <x:f t="shared" si="1">IF(AND(D11&gt;0,E11&lt;&gt;""),E11/D11/12,"")</x:f>
        <x:v>131491.43209876542</x:v>
      </x:c>
      <x:c r="G11" s="8">
        <x:v>379129</x:v>
      </x:c>
      <x:c r="H11" s="8">
        <x:v>323238</x:v>
      </x:c>
      <x:c r="I11" s="8">
        <x:v>702367</x:v>
      </x:c>
      <x:c r="J11" s="9" t="n">
        <x:f t="shared" si="0">IF($I$141&gt;0,I11/$I$141*100,"")</x:f>
        <x:v>0.03653686847043578</x:v>
      </x:c>
    </x:row>
    <x:row r="12">
      <x:c r="A12" s="6" t="s">
        <x:v>25</x:v>
      </x:c>
      <x:c r="B12" s="7" t="s">
        <x:v>26</x:v>
      </x:c>
      <x:c r="C12" s="8">
        <x:v>2</x:v>
      </x:c>
      <x:c r="D12" s="8">
        <x:v>442.16666666666669</x:v>
      </x:c>
      <x:c r="E12" s="8">
        <x:v>1282166372</x:v>
      </x:c>
      <x:c r="F12" s="8" t="n">
        <x:f t="shared" si="1">IF(AND(D12&gt;0,E12&lt;&gt;""),E12/D12/12,"")</x:f>
        <x:v>241644.6234451564</x:v>
      </x:c>
      <x:c r="G12" s="8">
        <x:v>85505738</x:v>
      </x:c>
      <x:c r="H12" s="8">
        <x:v>4076329</x:v>
      </x:c>
      <x:c r="I12" s="8">
        <x:v>89582067</x:v>
      </x:c>
      <x:c r="J12" s="9" t="n">
        <x:f t="shared" si="0">IF($I$141&gt;0,I12/$I$141*100,"")</x:f>
        <x:v>4.6600255981399545</x:v>
      </x:c>
    </x:row>
    <x:row r="13">
      <x:c r="A13" s="6" t="s">
        <x:v>27</x:v>
      </x:c>
      <x:c r="B13" s="7" t="s">
        <x:v>28</x:v>
      </x:c>
      <x:c r="C13" s="8">
        <x:v>1</x:v>
      </x:c>
      <x:c r="D13" s="8">
        <x:v>61.25</x:v>
      </x:c>
      <x:c r="E13" s="8">
        <x:v>148186358</x:v>
      </x:c>
      <x:c r="F13" s="8" t="n">
        <x:f t="shared" si="1">IF(AND(D13&gt;0,E13&lt;&gt;""),E13/D13/12,"")</x:f>
        <x:v>201614.0925170068</x:v>
      </x:c>
      <x:c r="G13" s="8">
        <x:v>11183822</x:v>
      </x:c>
      <x:c r="H13" s="8">
        <x:v>0</x:v>
      </x:c>
      <x:c r="I13" s="8">
        <x:v>11183822</x:v>
      </x:c>
      <x:c r="J13" s="9" t="n">
        <x:f t="shared" si="0">IF($I$141&gt;0,I13/$I$141*100,"")</x:f>
        <x:v>0.5817782347558557</x:v>
      </x:c>
    </x:row>
    <x:row r="14">
      <x:c r="A14" s="6" t="s">
        <x:v>29</x:v>
      </x:c>
      <x:c r="B14" s="7" t="s">
        <x:v>30</x:v>
      </x:c>
      <x:c r="C14" s="8">
        <x:v>1</x:v>
      </x:c>
      <x:c r="D14" s="8"/>
      <x:c r="E14" s="8"/>
      <x:c r="F14" s="8" t="str">
        <x:f t="shared" si="1">IF(AND(D14&gt;0,E14&lt;&gt;""),E14/D14/12,"")</x:f>
      </x:c>
      <x:c r="G14" s="8"/>
      <x:c r="H14" s="8"/>
      <x:c r="I14" s="8">
        <x:v>0</x:v>
      </x:c>
      <x:c r="J14" s="9" t="n">
        <x:f t="shared" si="0">IF($I$141&gt;0,I14/$I$141*100,"")</x:f>
        <x:v>0</x:v>
      </x:c>
    </x:row>
    <x:row r="15">
      <x:c r="A15" s="6" t="s">
        <x:v>31</x:v>
      </x:c>
      <x:c r="B15" s="7" t="s">
        <x:v>32</x:v>
      </x:c>
      <x:c r="C15" s="8">
        <x:v>6</x:v>
      </x:c>
      <x:c r="D15" s="8">
        <x:v>9.5</x:v>
      </x:c>
      <x:c r="E15" s="8">
        <x:v>18784517</x:v>
      </x:c>
      <x:c r="F15" s="8" t="n">
        <x:f t="shared" si="1">IF(AND(D15&gt;0,E15&lt;&gt;""),E15/D15/12,"")</x:f>
        <x:v>164776.4649122807</x:v>
      </x:c>
      <x:c r="G15" s="8">
        <x:v>1349269</x:v>
      </x:c>
      <x:c r="H15" s="8">
        <x:v>532363</x:v>
      </x:c>
      <x:c r="I15" s="8">
        <x:v>1881632</x:v>
      </x:c>
      <x:c r="J15" s="9" t="n">
        <x:f t="shared" si="0">IF($I$141&gt;0,I15/$I$141*100,"")</x:f>
        <x:v>0.09788179241587804</x:v>
      </x:c>
    </x:row>
    <x:row r="16">
      <x:c r="A16" s="6" t="s">
        <x:v>33</x:v>
      </x:c>
      <x:c r="B16" s="7" t="s">
        <x:v>34</x:v>
      </x:c>
      <x:c r="C16" s="8">
        <x:v>9</x:v>
      </x:c>
      <x:c r="D16" s="8">
        <x:v>4</x:v>
      </x:c>
      <x:c r="E16" s="8"/>
      <x:c r="F16" s="8" t="str">
        <x:f t="shared" si="1">IF(AND(D16&gt;0,E16&lt;&gt;""),E16/D16/12,"")</x:f>
      </x:c>
      <x:c r="G16" s="8"/>
      <x:c r="H16" s="8"/>
      <x:c r="I16" s="8">
        <x:v>0</x:v>
      </x:c>
      <x:c r="J16" s="9" t="n">
        <x:f t="shared" si="0">IF($I$141&gt;0,I16/$I$141*100,"")</x:f>
        <x:v>0</x:v>
      </x:c>
    </x:row>
    <x:row r="17">
      <x:c r="A17" s="6" t="s">
        <x:v>35</x:v>
      </x:c>
      <x:c r="B17" s="7" t="s">
        <x:v>36</x:v>
      </x:c>
      <x:c r="C17" s="8">
        <x:v>4</x:v>
      </x:c>
      <x:c r="D17" s="8"/>
      <x:c r="E17" s="8"/>
      <x:c r="F17" s="8" t="str">
        <x:f t="shared" si="1">IF(AND(D17&gt;0,E17&lt;&gt;""),E17/D17/12,"")</x:f>
      </x:c>
      <x:c r="G17" s="8"/>
      <x:c r="H17" s="8"/>
      <x:c r="I17" s="8">
        <x:v>0</x:v>
      </x:c>
      <x:c r="J17" s="9" t="n">
        <x:f t="shared" si="0">IF($I$141&gt;0,I17/$I$141*100,"")</x:f>
        <x:v>0</x:v>
      </x:c>
    </x:row>
    <x:row r="18">
      <x:c r="A18" s="6" t="s">
        <x:v>37</x:v>
      </x:c>
      <x:c r="B18" s="7" t="s">
        <x:v>38</x:v>
      </x:c>
      <x:c r="C18" s="8">
        <x:v>5</x:v>
      </x:c>
      <x:c r="D18" s="8">
        <x:v>26.083333333333332</x:v>
      </x:c>
      <x:c r="E18" s="8">
        <x:v>57767226</x:v>
      </x:c>
      <x:c r="F18" s="8" t="n">
        <x:f t="shared" si="1">IF(AND(D18&gt;0,E18&lt;&gt;""),E18/D18/12,"")</x:f>
        <x:v>184559.82747603836</x:v>
      </x:c>
      <x:c r="G18" s="8">
        <x:v>3924787</x:v>
      </x:c>
      <x:c r="H18" s="8">
        <x:v>3100628</x:v>
      </x:c>
      <x:c r="I18" s="8">
        <x:v>7025415</x:v>
      </x:c>
      <x:c r="J18" s="9" t="n">
        <x:f t="shared" si="0">IF($I$141&gt;0,I18/$I$141*100,"")</x:f>
        <x:v>0.36545945895126986</x:v>
      </x:c>
    </x:row>
    <x:row r="19">
      <x:c r="A19" s="6" t="s">
        <x:v>39</x:v>
      </x:c>
      <x:c r="B19" s="7" t="s">
        <x:v>40</x:v>
      </x:c>
      <x:c r="C19" s="8">
        <x:v>25</x:v>
      </x:c>
      <x:c r="D19" s="8">
        <x:v>488.16666666666657</x:v>
      </x:c>
      <x:c r="E19" s="8">
        <x:v>1405799496</x:v>
      </x:c>
      <x:c r="F19" s="8" t="n">
        <x:f t="shared" si="1">IF(AND(D19&gt;0,E19&lt;&gt;""),E19/D19/12,"")</x:f>
        <x:v>239979.4291567088</x:v>
      </x:c>
      <x:c r="G19" s="8">
        <x:v>96497239</x:v>
      </x:c>
      <x:c r="H19" s="8">
        <x:v>76749242</x:v>
      </x:c>
      <x:c r="I19" s="8">
        <x:v>173246481</x:v>
      </x:c>
      <x:c r="J19" s="9" t="n">
        <x:f t="shared" si="0">IF($I$141&gt;0,I19/$I$141*100,"")</x:f>
        <x:v>9.012217101974967</x:v>
      </x:c>
    </x:row>
    <x:row r="20">
      <x:c r="A20" s="6" t="s">
        <x:v>41</x:v>
      </x:c>
      <x:c r="B20" s="7" t="s">
        <x:v>42</x:v>
      </x:c>
      <x:c r="C20" s="8">
        <x:v>1</x:v>
      </x:c>
      <x:c r="D20" s="8">
        <x:v>12.333333333333334</x:v>
      </x:c>
      <x:c r="E20" s="8">
        <x:v>11189810</x:v>
      </x:c>
      <x:c r="F20" s="8" t="n">
        <x:f t="shared" si="1">IF(AND(D20&gt;0,E20&lt;&gt;""),E20/D20/12,"")</x:f>
        <x:v>75606.82432432432</x:v>
      </x:c>
      <x:c r="G20" s="8">
        <x:v>779990</x:v>
      </x:c>
      <x:c r="H20" s="8">
        <x:v>619688</x:v>
      </x:c>
      <x:c r="I20" s="8">
        <x:v>1399678</x:v>
      </x:c>
      <x:c r="J20" s="9" t="n">
        <x:f t="shared" si="0">IF($I$141&gt;0,I20/$I$141*100,"")</x:f>
        <x:v>0.07281072571314229</x:v>
      </x:c>
    </x:row>
    <x:row r="21">
      <x:c r="A21" s="6" t="s">
        <x:v>43</x:v>
      </x:c>
      <x:c r="B21" s="7" t="s">
        <x:v>44</x:v>
      </x:c>
      <x:c r="C21" s="8">
        <x:v>1</x:v>
      </x:c>
      <x:c r="D21" s="8">
        <x:v>1.25</x:v>
      </x:c>
      <x:c r="E21" s="8">
        <x:v>6085297</x:v>
      </x:c>
      <x:c r="F21" s="8" t="n">
        <x:f t="shared" si="1">IF(AND(D21&gt;0,E21&lt;&gt;""),E21/D21/12,"")</x:f>
        <x:v>405686.4666666666</x:v>
      </x:c>
      <x:c r="G21" s="8">
        <x:v>522882</x:v>
      </x:c>
      <x:c r="H21" s="8">
        <x:v>392903</x:v>
      </x:c>
      <x:c r="I21" s="8">
        <x:v>915785</x:v>
      </x:c>
      <x:c r="J21" s="9" t="n">
        <x:f t="shared" si="0">IF($I$141&gt;0,I21/$I$141*100,"")</x:f>
        <x:v>0.047638792956101336</x:v>
      </x:c>
    </x:row>
    <x:row r="22">
      <x:c r="A22" s="6" t="s">
        <x:v>45</x:v>
      </x:c>
      <x:c r="B22" s="7" t="s">
        <x:v>46</x:v>
      </x:c>
      <x:c r="C22" s="8">
        <x:v>2</x:v>
      </x:c>
      <x:c r="D22" s="8">
        <x:v>5.666666666666667</x:v>
      </x:c>
      <x:c r="E22" s="8">
        <x:v>8580000</x:v>
      </x:c>
      <x:c r="F22" s="8" t="n">
        <x:f t="shared" si="1">IF(AND(D22&gt;0,E22&lt;&gt;""),E22/D22/12,"")</x:f>
        <x:v>126176.47058823529</x:v>
      </x:c>
      <x:c r="G22" s="8">
        <x:v>376198</x:v>
      </x:c>
      <x:c r="H22" s="8">
        <x:v>8262</x:v>
      </x:c>
      <x:c r="I22" s="8">
        <x:v>384460</x:v>
      </x:c>
      <x:c r="J22" s="9" t="n">
        <x:f t="shared" si="0">IF($I$141&gt;0,I22/$I$141*100,"")</x:f>
        <x:v>0.019999465311074893</x:v>
      </x:c>
    </x:row>
    <x:row r="23">
      <x:c r="A23" s="6" t="s">
        <x:v>47</x:v>
      </x:c>
      <x:c r="B23" s="7" t="s">
        <x:v>48</x:v>
      </x:c>
      <x:c r="C23" s="8">
        <x:v>1</x:v>
      </x:c>
      <x:c r="D23" s="8"/>
      <x:c r="E23" s="8"/>
      <x:c r="F23" s="8" t="str">
        <x:f t="shared" si="1">IF(AND(D23&gt;0,E23&lt;&gt;""),E23/D23/12,"")</x:f>
      </x:c>
      <x:c r="G23" s="8"/>
      <x:c r="H23" s="8"/>
      <x:c r="I23" s="8">
        <x:v>0</x:v>
      </x:c>
      <x:c r="J23" s="9" t="n">
        <x:f t="shared" si="0">IF($I$141&gt;0,I23/$I$141*100,"")</x:f>
        <x:v>0</x:v>
      </x:c>
    </x:row>
    <x:row r="24">
      <x:c r="A24" s="6" t="s">
        <x:v>49</x:v>
      </x:c>
      <x:c r="B24" s="7" t="s">
        <x:v>50</x:v>
      </x:c>
      <x:c r="C24" s="8">
        <x:v>1</x:v>
      </x:c>
      <x:c r="D24" s="8"/>
      <x:c r="E24" s="8"/>
      <x:c r="F24" s="8" t="str">
        <x:f t="shared" si="1">IF(AND(D24&gt;0,E24&lt;&gt;""),E24/D24/12,"")</x:f>
      </x:c>
      <x:c r="G24" s="8"/>
      <x:c r="H24" s="8"/>
      <x:c r="I24" s="8">
        <x:v>0</x:v>
      </x:c>
      <x:c r="J24" s="9" t="n">
        <x:f t="shared" si="0">IF($I$141&gt;0,I24/$I$141*100,"")</x:f>
        <x:v>0</x:v>
      </x:c>
    </x:row>
    <x:row r="25">
      <x:c r="A25" s="6" t="s">
        <x:v>51</x:v>
      </x:c>
      <x:c r="B25" s="7" t="s">
        <x:v>52</x:v>
      </x:c>
      <x:c r="C25" s="8">
        <x:v>1</x:v>
      </x:c>
      <x:c r="D25" s="8">
        <x:v>2</x:v>
      </x:c>
      <x:c r="E25" s="8">
        <x:v>331428</x:v>
      </x:c>
      <x:c r="F25" s="8" t="n">
        <x:f t="shared" si="1">IF(AND(D25&gt;0,E25&lt;&gt;""),E25/D25/12,"")</x:f>
        <x:v>13809.5</x:v>
      </x:c>
      <x:c r="G25" s="8">
        <x:v>16748</x:v>
      </x:c>
      <x:c r="H25" s="8">
        <x:v>16969</x:v>
      </x:c>
      <x:c r="I25" s="8">
        <x:v>33717</x:v>
      </x:c>
      <x:c r="J25" s="9" t="n">
        <x:f t="shared" si="0">IF($I$141&gt;0,I25/$I$141*100,"")</x:f>
        <x:v>0.0017539457209944135</x:v>
      </x:c>
    </x:row>
    <x:row r="26">
      <x:c r="A26" s="6" t="s">
        <x:v>53</x:v>
      </x:c>
      <x:c r="B26" s="7" t="s">
        <x:v>54</x:v>
      </x:c>
      <x:c r="C26" s="8">
        <x:v>1</x:v>
      </x:c>
      <x:c r="D26" s="8"/>
      <x:c r="E26" s="8"/>
      <x:c r="F26" s="8" t="str">
        <x:f t="shared" si="1">IF(AND(D26&gt;0,E26&lt;&gt;""),E26/D26/12,"")</x:f>
      </x:c>
      <x:c r="G26" s="8"/>
      <x:c r="H26" s="8"/>
      <x:c r="I26" s="8">
        <x:v>0</x:v>
      </x:c>
      <x:c r="J26" s="9" t="n">
        <x:f t="shared" si="0">IF($I$141&gt;0,I26/$I$141*100,"")</x:f>
        <x:v>0</x:v>
      </x:c>
    </x:row>
    <x:row r="27">
      <x:c r="A27" s="6" t="s">
        <x:v>55</x:v>
      </x:c>
      <x:c r="B27" s="7" t="s">
        <x:v>56</x:v>
      </x:c>
      <x:c r="C27" s="8">
        <x:v>1</x:v>
      </x:c>
      <x:c r="D27" s="8">
        <x:v>4.4444444444444446</x:v>
      </x:c>
      <x:c r="E27" s="8">
        <x:v>5110000</x:v>
      </x:c>
      <x:c r="F27" s="8" t="n">
        <x:f t="shared" si="1">IF(AND(D27&gt;0,E27&lt;&gt;""),E27/D27/12,"")</x:f>
        <x:v>95812.5</x:v>
      </x:c>
      <x:c r="G27" s="8">
        <x:v>308203</x:v>
      </x:c>
      <x:c r="H27" s="8">
        <x:v>261636</x:v>
      </x:c>
      <x:c r="I27" s="8">
        <x:v>569839</x:v>
      </x:c>
      <x:c r="J27" s="9" t="n">
        <x:f t="shared" si="0">IF($I$141&gt;0,I27/$I$141*100,"")</x:f>
        <x:v>0.029642811510684094</x:v>
      </x:c>
    </x:row>
    <x:row r="28">
      <x:c r="A28" s="6" t="s">
        <x:v>57</x:v>
      </x:c>
      <x:c r="B28" s="7" t="s">
        <x:v>58</x:v>
      </x:c>
      <x:c r="C28" s="8">
        <x:v>1</x:v>
      </x:c>
      <x:c r="D28" s="8"/>
      <x:c r="E28" s="8"/>
      <x:c r="F28" s="8" t="str">
        <x:f t="shared" si="1">IF(AND(D28&gt;0,E28&lt;&gt;""),E28/D28/12,"")</x:f>
      </x:c>
      <x:c r="G28" s="8"/>
      <x:c r="H28" s="8"/>
      <x:c r="I28" s="8">
        <x:v>0</x:v>
      </x:c>
      <x:c r="J28" s="9" t="n">
        <x:f t="shared" si="0">IF($I$141&gt;0,I28/$I$141*100,"")</x:f>
        <x:v>0</x:v>
      </x:c>
    </x:row>
    <x:row r="29">
      <x:c r="A29" s="6" t="s">
        <x:v>59</x:v>
      </x:c>
      <x:c r="B29" s="7" t="s">
        <x:v>60</x:v>
      </x:c>
      <x:c r="C29" s="8">
        <x:v>1</x:v>
      </x:c>
      <x:c r="D29" s="8">
        <x:v>5</x:v>
      </x:c>
      <x:c r="E29" s="8">
        <x:v>1470000</x:v>
      </x:c>
      <x:c r="F29" s="8" t="n">
        <x:f t="shared" si="1">IF(AND(D29&gt;0,E29&lt;&gt;""),E29/D29/12,"")</x:f>
        <x:v>24500</x:v>
      </x:c>
      <x:c r="G29" s="8">
        <x:v>693</x:v>
      </x:c>
      <x:c r="H29" s="8">
        <x:v>0</x:v>
      </x:c>
      <x:c r="I29" s="8">
        <x:v>693</x:v>
      </x:c>
      <x:c r="J29" s="9" t="n">
        <x:f t="shared" si="0">IF($I$141&gt;0,I29/$I$141*100,"")</x:f>
        <x:v>0.00003604960063615175</x:v>
      </x:c>
    </x:row>
    <x:row r="30">
      <x:c r="A30" s="6" t="s">
        <x:v>61</x:v>
      </x:c>
      <x:c r="B30" s="7" t="s">
        <x:v>62</x:v>
      </x:c>
      <x:c r="C30" s="8">
        <x:v>3</x:v>
      </x:c>
      <x:c r="D30" s="8">
        <x:v>34.166666666666671</x:v>
      </x:c>
      <x:c r="E30" s="8">
        <x:v>147033827</x:v>
      </x:c>
      <x:c r="F30" s="8" t="n">
        <x:f t="shared" si="1">IF(AND(D30&gt;0,E30&lt;&gt;""),E30/D30/12,"")</x:f>
        <x:v>358619.09024390235</x:v>
      </x:c>
      <x:c r="G30" s="8">
        <x:v>10918538</x:v>
      </x:c>
      <x:c r="H30" s="8">
        <x:v>8547574</x:v>
      </x:c>
      <x:c r="I30" s="8">
        <x:v>19466112</x:v>
      </x:c>
      <x:c r="J30" s="9" t="n">
        <x:f t="shared" si="0">IF($I$141&gt;0,I30/$I$141*100,"")</x:f>
        <x:v>1.0126198608060624</x:v>
      </x:c>
    </x:row>
    <x:row r="31">
      <x:c r="A31" s="6" t="s">
        <x:v>63</x:v>
      </x:c>
      <x:c r="B31" s="7" t="s">
        <x:v>64</x:v>
      </x:c>
      <x:c r="C31" s="8">
        <x:v>3</x:v>
      </x:c>
      <x:c r="D31" s="8">
        <x:v>184.25</x:v>
      </x:c>
      <x:c r="E31" s="8">
        <x:v>422303504</x:v>
      </x:c>
      <x:c r="F31" s="8" t="n">
        <x:f t="shared" si="1">IF(AND(D31&gt;0,E31&lt;&gt;""),E31/D31/12,"")</x:f>
        <x:v>191001.13251922207</x:v>
      </x:c>
      <x:c r="G31" s="8">
        <x:v>25228918</x:v>
      </x:c>
      <x:c r="H31" s="8">
        <x:v>24131655</x:v>
      </x:c>
      <x:c r="I31" s="8">
        <x:v>49360573</x:v>
      </x:c>
      <x:c r="J31" s="9" t="n">
        <x:f t="shared" si="0">IF($I$141&gt;0,I31/$I$141*100,"")</x:f>
        <x:v>2.5677185336531236</x:v>
      </x:c>
    </x:row>
    <x:row r="32">
      <x:c r="A32" s="6" t="s">
        <x:v>65</x:v>
      </x:c>
      <x:c r="B32" s="7" t="s">
        <x:v>66</x:v>
      </x:c>
      <x:c r="C32" s="8">
        <x:v>2</x:v>
      </x:c>
      <x:c r="D32" s="8"/>
      <x:c r="E32" s="8"/>
      <x:c r="F32" s="8" t="str">
        <x:f t="shared" si="1">IF(AND(D32&gt;0,E32&lt;&gt;""),E32/D32/12,"")</x:f>
      </x:c>
      <x:c r="G32" s="8"/>
      <x:c r="H32" s="8"/>
      <x:c r="I32" s="8">
        <x:v>0</x:v>
      </x:c>
      <x:c r="J32" s="9" t="n">
        <x:f t="shared" si="0">IF($I$141&gt;0,I32/$I$141*100,"")</x:f>
        <x:v>0</x:v>
      </x:c>
    </x:row>
    <x:row r="33">
      <x:c r="A33" s="6" t="s">
        <x:v>67</x:v>
      </x:c>
      <x:c r="B33" s="7" t="s">
        <x:v>68</x:v>
      </x:c>
      <x:c r="C33" s="8">
        <x:v>1</x:v>
      </x:c>
      <x:c r="D33" s="8">
        <x:v>2.3333333333333335</x:v>
      </x:c>
      <x:c r="E33" s="8">
        <x:v>8064045</x:v>
      </x:c>
      <x:c r="F33" s="8" t="n">
        <x:f t="shared" si="1">IF(AND(D33&gt;0,E33&lt;&gt;""),E33/D33/12,"")</x:f>
        <x:v>288001.6071428571</x:v>
      </x:c>
      <x:c r="G33" s="8">
        <x:v>601087</x:v>
      </x:c>
      <x:c r="H33" s="8">
        <x:v>420144</x:v>
      </x:c>
      <x:c r="I33" s="8">
        <x:v>1021231</x:v>
      </x:c>
      <x:c r="J33" s="9" t="n">
        <x:f t="shared" si="0">IF($I$141&gt;0,I33/$I$141*100,"")</x:f>
        <x:v>0.05312405441162755</x:v>
      </x:c>
    </x:row>
    <x:row r="34">
      <x:c r="A34" s="6" t="s">
        <x:v>69</x:v>
      </x:c>
      <x:c r="B34" s="7" t="s">
        <x:v>70</x:v>
      </x:c>
      <x:c r="C34" s="8">
        <x:v>1</x:v>
      </x:c>
      <x:c r="D34" s="8">
        <x:v>37.5</x:v>
      </x:c>
      <x:c r="E34" s="8">
        <x:v>86163709</x:v>
      </x:c>
      <x:c r="F34" s="8" t="n">
        <x:f t="shared" si="1">IF(AND(D34&gt;0,E34&lt;&gt;""),E34/D34/12,"")</x:f>
        <x:v>191474.9088888889</x:v>
      </x:c>
      <x:c r="G34" s="8">
        <x:v>5012851</x:v>
      </x:c>
      <x:c r="H34" s="8">
        <x:v>4588637</x:v>
      </x:c>
      <x:c r="I34" s="8">
        <x:v>9601488</x:v>
      </x:c>
      <x:c r="J34" s="9" t="n">
        <x:f t="shared" si="0">IF($I$141&gt;0,I34/$I$141*100,"")</x:f>
        <x:v>0.4994658122839875</x:v>
      </x:c>
    </x:row>
    <x:row r="35">
      <x:c r="A35" s="6" t="s">
        <x:v>71</x:v>
      </x:c>
      <x:c r="B35" s="7" t="s">
        <x:v>72</x:v>
      </x:c>
      <x:c r="C35" s="8">
        <x:v>1</x:v>
      </x:c>
      <x:c r="D35" s="8">
        <x:v>1</x:v>
      </x:c>
      <x:c r="E35" s="8">
        <x:v>255000</x:v>
      </x:c>
      <x:c r="F35" s="8" t="n">
        <x:f t="shared" si="1">IF(AND(D35&gt;0,E35&lt;&gt;""),E35/D35/12,"")</x:f>
        <x:v>21250</x:v>
      </x:c>
      <x:c r="G35" s="8">
        <x:v>693</x:v>
      </x:c>
      <x:c r="H35" s="8">
        <x:v>12393</x:v>
      </x:c>
      <x:c r="I35" s="8">
        <x:v>13086</x:v>
      </x:c>
      <x:c r="J35" s="9" t="n">
        <x:f t="shared" si="0">IF($I$141&gt;0,I35/$I$141*100,"")</x:f>
        <x:v>0.0006807288224021382</x:v>
      </x:c>
    </x:row>
    <x:row r="36">
      <x:c r="A36" s="6" t="s">
        <x:v>73</x:v>
      </x:c>
      <x:c r="B36" s="7" t="s">
        <x:v>74</x:v>
      </x:c>
      <x:c r="C36" s="8">
        <x:v>1</x:v>
      </x:c>
      <x:c r="D36" s="8">
        <x:v>1</x:v>
      </x:c>
      <x:c r="E36" s="8"/>
      <x:c r="F36" s="8" t="str">
        <x:f t="shared" si="1">IF(AND(D36&gt;0,E36&lt;&gt;""),E36/D36/12,"")</x:f>
      </x:c>
      <x:c r="G36" s="8"/>
      <x:c r="H36" s="8"/>
      <x:c r="I36" s="8">
        <x:v>0</x:v>
      </x:c>
      <x:c r="J36" s="9" t="n">
        <x:f t="shared" si="0">IF($I$141&gt;0,I36/$I$141*100,"")</x:f>
        <x:v>0</x:v>
      </x:c>
    </x:row>
    <x:row r="37">
      <x:c r="A37" s="6" t="s">
        <x:v>75</x:v>
      </x:c>
      <x:c r="B37" s="7" t="s">
        <x:v>76</x:v>
      </x:c>
      <x:c r="C37" s="8">
        <x:v>1</x:v>
      </x:c>
      <x:c r="D37" s="8">
        <x:v>22</x:v>
      </x:c>
      <x:c r="E37" s="8">
        <x:v>97419628</x:v>
      </x:c>
      <x:c r="F37" s="8" t="n">
        <x:f t="shared" si="1">IF(AND(D37&gt;0,E37&lt;&gt;""),E37/D37/12,"")</x:f>
        <x:v>369013.74242424243</x:v>
      </x:c>
      <x:c r="G37" s="8">
        <x:v>7308597</x:v>
      </x:c>
      <x:c r="H37" s="8">
        <x:v>5280266</x:v>
      </x:c>
      <x:c r="I37" s="8">
        <x:v>12588863</x:v>
      </x:c>
      <x:c r="J37" s="9" t="n">
        <x:f t="shared" si="0">IF($I$141&gt;0,I37/$I$141*100,"")</x:f>
        <x:v>0.6548679417218286</x:v>
      </x:c>
    </x:row>
    <x:row r="38">
      <x:c r="A38" s="6" t="s">
        <x:v>77</x:v>
      </x:c>
      <x:c r="B38" s="7" t="s">
        <x:v>78</x:v>
      </x:c>
      <x:c r="C38" s="8">
        <x:v>1</x:v>
      </x:c>
      <x:c r="D38" s="8">
        <x:v>1</x:v>
      </x:c>
      <x:c r="E38" s="8">
        <x:v>3750000</x:v>
      </x:c>
      <x:c r="F38" s="8" t="n">
        <x:f t="shared" si="1">IF(AND(D38&gt;0,E38&lt;&gt;""),E38/D38/12,"")</x:f>
        <x:v>312500</x:v>
      </x:c>
      <x:c r="G38" s="8">
        <x:v>267976</x:v>
      </x:c>
      <x:c r="H38" s="8">
        <x:v>195375</x:v>
      </x:c>
      <x:c r="I38" s="8">
        <x:v>463351</x:v>
      </x:c>
      <x:c r="J38" s="9" t="n">
        <x:f t="shared" si="0">IF($I$141&gt;0,I38/$I$141*100,"")</x:f>
        <x:v>0.02410334560513932</x:v>
      </x:c>
    </x:row>
    <x:row r="39">
      <x:c r="A39" s="6" t="s">
        <x:v>79</x:v>
      </x:c>
      <x:c r="B39" s="7" t="s">
        <x:v>80</x:v>
      </x:c>
      <x:c r="C39" s="8">
        <x:v>1</x:v>
      </x:c>
      <x:c r="D39" s="8">
        <x:v>12.333333333333334</x:v>
      </x:c>
      <x:c r="E39" s="8">
        <x:v>26761964</x:v>
      </x:c>
      <x:c r="F39" s="8" t="n">
        <x:f t="shared" si="1">IF(AND(D39&gt;0,E39&lt;&gt;""),E39/D39/12,"")</x:f>
        <x:v>180824.08108108107</x:v>
      </x:c>
      <x:c r="G39" s="8">
        <x:v>1377673</x:v>
      </x:c>
      <x:c r="H39" s="8">
        <x:v>1383294</x:v>
      </x:c>
      <x:c r="I39" s="8">
        <x:v>2760967</x:v>
      </x:c>
      <x:c r="J39" s="9" t="n">
        <x:f t="shared" si="0">IF($I$141&gt;0,I39/$I$141*100,"")</x:f>
        <x:v>0.14362447001384412</x:v>
      </x:c>
    </x:row>
    <x:row r="40">
      <x:c r="A40" s="6" t="s">
        <x:v>81</x:v>
      </x:c>
      <x:c r="B40" s="7" t="s">
        <x:v>82</x:v>
      </x:c>
      <x:c r="C40" s="8">
        <x:v>2</x:v>
      </x:c>
      <x:c r="D40" s="8">
        <x:v>145.33333333333334</x:v>
      </x:c>
      <x:c r="E40" s="8">
        <x:v>669801849</x:v>
      </x:c>
      <x:c r="F40" s="8" t="n">
        <x:f t="shared" si="1">IF(AND(D40&gt;0,E40&lt;&gt;""),E40/D40/12,"")</x:f>
        <x:v>384060.69323394494</x:v>
      </x:c>
      <x:c r="G40" s="8">
        <x:v>51458792</x:v>
      </x:c>
      <x:c r="H40" s="8">
        <x:v>37711218</x:v>
      </x:c>
      <x:c r="I40" s="8">
        <x:v>89170010</x:v>
      </x:c>
      <x:c r="J40" s="9" t="n">
        <x:f t="shared" si="0">IF($I$141&gt;0,I40/$I$141*100,"")</x:f>
        <x:v>4.638590547217399</x:v>
      </x:c>
    </x:row>
    <x:row r="41">
      <x:c r="A41" s="6" t="s">
        <x:v>83</x:v>
      </x:c>
      <x:c r="B41" s="7" t="s">
        <x:v>84</x:v>
      </x:c>
      <x:c r="C41" s="8">
        <x:v>2</x:v>
      </x:c>
      <x:c r="D41" s="8">
        <x:v>2</x:v>
      </x:c>
      <x:c r="E41" s="8"/>
      <x:c r="F41" s="8" t="str">
        <x:f t="shared" si="1">IF(AND(D41&gt;0,E41&lt;&gt;""),E41/D41/12,"")</x:f>
      </x:c>
      <x:c r="G41" s="8"/>
      <x:c r="H41" s="8"/>
      <x:c r="I41" s="8">
        <x:v>0</x:v>
      </x:c>
      <x:c r="J41" s="9" t="n">
        <x:f t="shared" si="0">IF($I$141&gt;0,I41/$I$141*100,"")</x:f>
        <x:v>0</x:v>
      </x:c>
    </x:row>
    <x:row r="42">
      <x:c r="A42" s="6" t="s">
        <x:v>85</x:v>
      </x:c>
      <x:c r="B42" s="7" t="s">
        <x:v>86</x:v>
      </x:c>
      <x:c r="C42" s="8">
        <x:v>1</x:v>
      </x:c>
      <x:c r="D42" s="8">
        <x:v>22.333333333333332</x:v>
      </x:c>
      <x:c r="E42" s="8">
        <x:v>68230840</x:v>
      </x:c>
      <x:c r="F42" s="8" t="n">
        <x:f t="shared" si="1">IF(AND(D42&gt;0,E42&lt;&gt;""),E42/D42/12,"")</x:f>
        <x:v>254592.68656716417</x:v>
      </x:c>
      <x:c r="G42" s="8">
        <x:v>4832300</x:v>
      </x:c>
      <x:c r="H42" s="8">
        <x:v>3590306</x:v>
      </x:c>
      <x:c r="I42" s="8">
        <x:v>8422606</x:v>
      </x:c>
      <x:c r="J42" s="9" t="n">
        <x:f t="shared" si="0">IF($I$141&gt;0,I42/$I$141*100,"")</x:f>
        <x:v>0.4381408118552028</x:v>
      </x:c>
    </x:row>
    <x:row r="43">
      <x:c r="A43" s="6" t="s">
        <x:v>87</x:v>
      </x:c>
      <x:c r="B43" s="7" t="s">
        <x:v>88</x:v>
      </x:c>
      <x:c r="C43" s="8">
        <x:v>2</x:v>
      </x:c>
      <x:c r="D43" s="8">
        <x:v>11.333333333333334</x:v>
      </x:c>
      <x:c r="E43" s="8">
        <x:v>61897798</x:v>
      </x:c>
      <x:c r="F43" s="8" t="n">
        <x:f t="shared" si="1">IF(AND(D43&gt;0,E43&lt;&gt;""),E43/D43/12,"")</x:f>
        <x:v>455130.8676470588</x:v>
      </x:c>
      <x:c r="G43" s="8">
        <x:v>11134403</x:v>
      </x:c>
      <x:c r="H43" s="8">
        <x:v>9131282</x:v>
      </x:c>
      <x:c r="I43" s="8">
        <x:v>20265685</x:v>
      </x:c>
      <x:c r="J43" s="9" t="n">
        <x:f t="shared" si="0">IF($I$141&gt;0,I43/$I$141*100,"")</x:f>
        <x:v>1.0542133490159467</x:v>
      </x:c>
    </x:row>
    <x:row r="44">
      <x:c r="A44" s="6" t="s">
        <x:v>89</x:v>
      </x:c>
      <x:c r="B44" s="7" t="s">
        <x:v>90</x:v>
      </x:c>
      <x:c r="C44" s="8">
        <x:v>1</x:v>
      </x:c>
      <x:c r="D44" s="8">
        <x:v>14.916666666666666</x:v>
      </x:c>
      <x:c r="E44" s="8">
        <x:v>176431129</x:v>
      </x:c>
      <x:c r="F44" s="8" t="n">
        <x:f t="shared" si="1">IF(AND(D44&gt;0,E44&lt;&gt;""),E44/D44/12,"")</x:f>
        <x:v>985648.7653631285</x:v>
      </x:c>
      <x:c r="G44" s="8">
        <x:v>17207063</x:v>
      </x:c>
      <x:c r="H44" s="8">
        <x:v>13645850</x:v>
      </x:c>
      <x:c r="I44" s="8">
        <x:v>30852913</x:v>
      </x:c>
      <x:c r="J44" s="9" t="n">
        <x:f t="shared" si="0">IF($I$141&gt;0,I44/$I$141*100,"")</x:f>
        <x:v>1.6049569871745089</x:v>
      </x:c>
    </x:row>
    <x:row r="45">
      <x:c r="A45" s="6" t="s">
        <x:v>91</x:v>
      </x:c>
      <x:c r="B45" s="7" t="s">
        <x:v>92</x:v>
      </x:c>
      <x:c r="C45" s="8">
        <x:v>1</x:v>
      </x:c>
      <x:c r="D45" s="8">
        <x:v>148</x:v>
      </x:c>
      <x:c r="E45" s="8">
        <x:v>129767871</x:v>
      </x:c>
      <x:c r="F45" s="8" t="n">
        <x:f t="shared" si="1">IF(AND(D45&gt;0,E45&lt;&gt;""),E45/D45/12,"")</x:f>
        <x:v>73067.49493243244</x:v>
      </x:c>
      <x:c r="G45" s="8">
        <x:v>6347966</x:v>
      </x:c>
      <x:c r="H45" s="8">
        <x:v>6839480</x:v>
      </x:c>
      <x:c r="I45" s="8">
        <x:v>13187446</x:v>
      </x:c>
      <x:c r="J45" s="9" t="n">
        <x:f t="shared" si="0">IF($I$141&gt;0,I45/$I$141*100,"")</x:f>
        <x:v>0.686006005354714</x:v>
      </x:c>
    </x:row>
    <x:row r="46">
      <x:c r="A46" s="6" t="s">
        <x:v>93</x:v>
      </x:c>
      <x:c r="B46" s="7" t="s">
        <x:v>94</x:v>
      </x:c>
      <x:c r="C46" s="8">
        <x:v>1</x:v>
      </x:c>
      <x:c r="D46" s="8"/>
      <x:c r="E46" s="8"/>
      <x:c r="F46" s="8" t="str">
        <x:f t="shared" si="1">IF(AND(D46&gt;0,E46&lt;&gt;""),E46/D46/12,"")</x:f>
      </x:c>
      <x:c r="G46" s="8"/>
      <x:c r="H46" s="8"/>
      <x:c r="I46" s="8">
        <x:v>0</x:v>
      </x:c>
      <x:c r="J46" s="9" t="n">
        <x:f t="shared" si="0">IF($I$141&gt;0,I46/$I$141*100,"")</x:f>
        <x:v>0</x:v>
      </x:c>
    </x:row>
    <x:row r="47">
      <x:c r="A47" s="6" t="s">
        <x:v>95</x:v>
      </x:c>
      <x:c r="B47" s="7" t="s">
        <x:v>96</x:v>
      </x:c>
      <x:c r="C47" s="8">
        <x:v>1</x:v>
      </x:c>
      <x:c r="D47" s="8">
        <x:v>1</x:v>
      </x:c>
      <x:c r="E47" s="8"/>
      <x:c r="F47" s="8" t="str">
        <x:f t="shared" si="1">IF(AND(D47&gt;0,E47&lt;&gt;""),E47/D47/12,"")</x:f>
      </x:c>
      <x:c r="G47" s="8"/>
      <x:c r="H47" s="8"/>
      <x:c r="I47" s="8">
        <x:v>0</x:v>
      </x:c>
      <x:c r="J47" s="9" t="n">
        <x:f t="shared" si="0">IF($I$141&gt;0,I47/$I$141*100,"")</x:f>
        <x:v>0</x:v>
      </x:c>
    </x:row>
    <x:row r="48">
      <x:c r="A48" s="6" t="s">
        <x:v>97</x:v>
      </x:c>
      <x:c r="B48" s="7" t="s">
        <x:v>98</x:v>
      </x:c>
      <x:c r="C48" s="8">
        <x:v>7</x:v>
      </x:c>
      <x:c r="D48" s="8">
        <x:v>12.416666666666666</x:v>
      </x:c>
      <x:c r="E48" s="8">
        <x:v>13403469</x:v>
      </x:c>
      <x:c r="F48" s="8" t="n">
        <x:f t="shared" si="1">IF(AND(D48&gt;0,E48&lt;&gt;""),E48/D48/12,"")</x:f>
        <x:v>89956.16778523491</x:v>
      </x:c>
      <x:c r="G48" s="8">
        <x:v>872022</x:v>
      </x:c>
      <x:c r="H48" s="8">
        <x:v>408739</x:v>
      </x:c>
      <x:c r="I48" s="8">
        <x:v>1280761</x:v>
      </x:c>
      <x:c r="J48" s="9" t="n">
        <x:f t="shared" si="0">IF($I$141&gt;0,I48/$I$141*100,"")</x:f>
        <x:v>0.06662470787930498</x:v>
      </x:c>
    </x:row>
    <x:row r="49">
      <x:c r="A49" s="6" t="s">
        <x:v>99</x:v>
      </x:c>
      <x:c r="B49" s="7" t="s">
        <x:v>100</x:v>
      </x:c>
      <x:c r="C49" s="8">
        <x:v>1</x:v>
      </x:c>
      <x:c r="D49" s="8">
        <x:v>11.888888888888889</x:v>
      </x:c>
      <x:c r="E49" s="8">
        <x:v>90828269</x:v>
      </x:c>
      <x:c r="F49" s="8" t="n">
        <x:f t="shared" si="1">IF(AND(D49&gt;0,E49&lt;&gt;""),E49/D49/12,"")</x:f>
        <x:v>636646.7453271028</x:v>
      </x:c>
      <x:c r="G49" s="8">
        <x:v>8008979</x:v>
      </x:c>
      <x:c r="H49" s="8">
        <x:v>6264224</x:v>
      </x:c>
      <x:c r="I49" s="8">
        <x:v>14273203</x:v>
      </x:c>
      <x:c r="J49" s="9" t="n">
        <x:f t="shared" si="0">IF($I$141&gt;0,I49/$I$141*100,"")</x:f>
        <x:v>0.7424866781366856</x:v>
      </x:c>
    </x:row>
    <x:row r="50">
      <x:c r="A50" s="6" t="s">
        <x:v>101</x:v>
      </x:c>
      <x:c r="B50" s="7" t="s">
        <x:v>102</x:v>
      </x:c>
      <x:c r="C50" s="8">
        <x:v>4</x:v>
      </x:c>
      <x:c r="D50" s="8">
        <x:v>129.41666666666666</x:v>
      </x:c>
      <x:c r="E50" s="8">
        <x:v>224712975</x:v>
      </x:c>
      <x:c r="F50" s="8" t="n">
        <x:f t="shared" si="1">IF(AND(D50&gt;0,E50&lt;&gt;""),E50/D50/12,"")</x:f>
        <x:v>144696.0560206053</x:v>
      </x:c>
      <x:c r="G50" s="8">
        <x:v>17537279</x:v>
      </x:c>
      <x:c r="H50" s="8">
        <x:v>12146490</x:v>
      </x:c>
      <x:c r="I50" s="8">
        <x:v>29683769</x:v>
      </x:c>
      <x:c r="J50" s="9" t="n">
        <x:f t="shared" si="0">IF($I$141&gt;0,I50/$I$141*100,"")</x:f>
        <x:v>1.5441385538611567</x:v>
      </x:c>
    </x:row>
    <x:row r="51">
      <x:c r="A51" s="6" t="s">
        <x:v>103</x:v>
      </x:c>
      <x:c r="B51" s="7" t="s">
        <x:v>104</x:v>
      </x:c>
      <x:c r="C51" s="8">
        <x:v>1</x:v>
      </x:c>
      <x:c r="D51" s="8">
        <x:v>5</x:v>
      </x:c>
      <x:c r="E51" s="8">
        <x:v>1920000</x:v>
      </x:c>
      <x:c r="F51" s="8" t="n">
        <x:f t="shared" si="1">IF(AND(D51&gt;0,E51&lt;&gt;""),E51/D51/12,"")</x:f>
        <x:v>32000</x:v>
      </x:c>
      <x:c r="G51" s="8">
        <x:v>66465</x:v>
      </x:c>
      <x:c r="H51" s="8">
        <x:v>96462</x:v>
      </x:c>
      <x:c r="I51" s="8">
        <x:v>162927</x:v>
      </x:c>
      <x:c r="J51" s="9" t="n">
        <x:f t="shared" si="0">IF($I$141&gt;0,I51/$I$141*100,"")</x:f>
        <x:v>0.008475401562548767</x:v>
      </x:c>
    </x:row>
    <x:row r="52">
      <x:c r="A52" s="6" t="s">
        <x:v>105</x:v>
      </x:c>
      <x:c r="B52" s="7" t="s">
        <x:v>106</x:v>
      </x:c>
      <x:c r="C52" s="8">
        <x:v>2</x:v>
      </x:c>
      <x:c r="D52" s="8">
        <x:v>36.5</x:v>
      </x:c>
      <x:c r="E52" s="8">
        <x:v>243495199</x:v>
      </x:c>
      <x:c r="F52" s="8" t="n">
        <x:f t="shared" si="1">IF(AND(D52&gt;0,E52&lt;&gt;""),E52/D52/12,"")</x:f>
        <x:v>555925.1118721461</x:v>
      </x:c>
      <x:c r="G52" s="8">
        <x:v>19604220</x:v>
      </x:c>
      <x:c r="H52" s="8">
        <x:v>14112025</x:v>
      </x:c>
      <x:c r="I52" s="8">
        <x:v>33716245</x:v>
      </x:c>
      <x:c r="J52" s="9" t="n">
        <x:f t="shared" si="0">IF($I$141&gt;0,I52/$I$141*100,"")</x:f>
        <x:v>1.7539064461769818</x:v>
      </x:c>
    </x:row>
    <x:row r="53">
      <x:c r="A53" s="6" t="s">
        <x:v>107</x:v>
      </x:c>
      <x:c r="B53" s="7" t="s">
        <x:v>108</x:v>
      </x:c>
      <x:c r="C53" s="8">
        <x:v>2</x:v>
      </x:c>
      <x:c r="D53" s="8">
        <x:v>1</x:v>
      </x:c>
      <x:c r="E53" s="8">
        <x:v>1020000</x:v>
      </x:c>
      <x:c r="F53" s="8" t="n">
        <x:f t="shared" si="1">IF(AND(D53&gt;0,E53&lt;&gt;""),E53/D53/12,"")</x:f>
        <x:v>85000</x:v>
      </x:c>
      <x:c r="G53" s="8">
        <x:v>9012</x:v>
      </x:c>
      <x:c r="H53" s="8">
        <x:v>35700</x:v>
      </x:c>
      <x:c r="I53" s="8">
        <x:v>44712</x:v>
      </x:c>
      <x:c r="J53" s="9" t="n">
        <x:f t="shared" si="0">IF($I$141&gt;0,I53/$I$141*100,"")</x:f>
        <x:v>0.002325901505979245</x:v>
      </x:c>
    </x:row>
    <x:row r="54">
      <x:c r="A54" s="6" t="s">
        <x:v>109</x:v>
      </x:c>
      <x:c r="B54" s="7" t="s">
        <x:v>110</x:v>
      </x:c>
      <x:c r="C54" s="8">
        <x:v>1</x:v>
      </x:c>
      <x:c r="D54" s="8">
        <x:v>1</x:v>
      </x:c>
      <x:c r="E54" s="8">
        <x:v>2820000</x:v>
      </x:c>
      <x:c r="F54" s="8" t="n">
        <x:f t="shared" si="1">IF(AND(D54&gt;0,E54&lt;&gt;""),E54/D54/12,"")</x:f>
        <x:v>235000</x:v>
      </x:c>
      <x:c r="G54" s="8">
        <x:v>186132</x:v>
      </x:c>
      <x:c r="H54" s="8">
        <x:v>148502</x:v>
      </x:c>
      <x:c r="I54" s="8">
        <x:v>334634</x:v>
      </x:c>
      <x:c r="J54" s="9" t="n">
        <x:f t="shared" si="0">IF($I$141&gt;0,I54/$I$141*100,"")</x:f>
        <x:v>0.0174075354390736</x:v>
      </x:c>
    </x:row>
    <x:row r="55">
      <x:c r="A55" s="6" t="s">
        <x:v>111</x:v>
      </x:c>
      <x:c r="B55" s="7" t="s">
        <x:v>112</x:v>
      </x:c>
      <x:c r="C55" s="8">
        <x:v>1</x:v>
      </x:c>
      <x:c r="D55" s="8">
        <x:v>8.8333333333333339</x:v>
      </x:c>
      <x:c r="E55" s="8">
        <x:v>29450000</x:v>
      </x:c>
      <x:c r="F55" s="8" t="n">
        <x:f t="shared" si="1">IF(AND(D55&gt;0,E55&lt;&gt;""),E55/D55/12,"")</x:f>
        <x:v>277830.18867924524</x:v>
      </x:c>
      <x:c r="G55" s="8">
        <x:v>2540616</x:v>
      </x:c>
      <x:c r="H55" s="8">
        <x:v>1918800</x:v>
      </x:c>
      <x:c r="I55" s="8">
        <x:v>4459416</x:v>
      </x:c>
      <x:c r="J55" s="9" t="n">
        <x:f t="shared" si="0">IF($I$141&gt;0,I55/$I$141*100,"")</x:f>
        <x:v>0.2319771513282327</x:v>
      </x:c>
    </x:row>
    <x:row r="56">
      <x:c r="A56" s="6" t="s">
        <x:v>113</x:v>
      </x:c>
      <x:c r="B56" s="7" t="s">
        <x:v>114</x:v>
      </x:c>
      <x:c r="C56" s="8">
        <x:v>2</x:v>
      </x:c>
      <x:c r="D56" s="8">
        <x:v>4.1666666666666661</x:v>
      </x:c>
      <x:c r="E56" s="8">
        <x:v>3150000</x:v>
      </x:c>
      <x:c r="F56" s="8" t="n">
        <x:f t="shared" si="1">IF(AND(D56&gt;0,E56&lt;&gt;""),E56/D56/12,"")</x:f>
        <x:v>63000.00000000001</x:v>
      </x:c>
      <x:c r="G56" s="8">
        <x:v>29940</x:v>
      </x:c>
      <x:c r="H56" s="8">
        <x:v>202518</x:v>
      </x:c>
      <x:c r="I56" s="8">
        <x:v>232458</x:v>
      </x:c>
      <x:c r="J56" s="9" t="n">
        <x:f t="shared" si="0">IF($I$141&gt;0,I56/$I$141*100,"")</x:f>
        <x:v>0.012092378159709326</x:v>
      </x:c>
    </x:row>
    <x:row r="57">
      <x:c r="A57" s="6" t="s">
        <x:v>115</x:v>
      </x:c>
      <x:c r="B57" s="7" t="s">
        <x:v>116</x:v>
      </x:c>
      <x:c r="C57" s="8">
        <x:v>1</x:v>
      </x:c>
      <x:c r="D57" s="8">
        <x:v>5.25</x:v>
      </x:c>
      <x:c r="E57" s="8">
        <x:v>3155878</x:v>
      </x:c>
      <x:c r="F57" s="8" t="n">
        <x:f t="shared" si="1">IF(AND(D57&gt;0,E57&lt;&gt;""),E57/D57/12,"")</x:f>
        <x:v>50093.30158730159</x:v>
      </x:c>
      <x:c r="G57" s="8">
        <x:v>13676</x:v>
      </x:c>
      <x:c r="H57" s="8">
        <x:v>175621</x:v>
      </x:c>
      <x:c r="I57" s="8">
        <x:v>189297</x:v>
      </x:c>
      <x:c r="J57" s="9" t="n">
        <x:f t="shared" si="0">IF($I$141&gt;0,I57/$I$141*100,"")</x:f>
        <x:v>0.009847159093249087</x:v>
      </x:c>
    </x:row>
    <x:row r="58">
      <x:c r="A58" s="6" t="s">
        <x:v>117</x:v>
      </x:c>
      <x:c r="B58" s="7" t="s">
        <x:v>118</x:v>
      </x:c>
      <x:c r="C58" s="8">
        <x:v>2</x:v>
      </x:c>
      <x:c r="D58" s="8">
        <x:v>18.833333333333332</x:v>
      </x:c>
      <x:c r="E58" s="8">
        <x:v>28666184</x:v>
      </x:c>
      <x:c r="F58" s="8" t="n">
        <x:f t="shared" si="1">IF(AND(D58&gt;0,E58&lt;&gt;""),E58/D58/12,"")</x:f>
        <x:v>126841.52212389382</x:v>
      </x:c>
      <x:c r="G58" s="8">
        <x:v>1265296</x:v>
      </x:c>
      <x:c r="H58" s="8">
        <x:v>1523849</x:v>
      </x:c>
      <x:c r="I58" s="8">
        <x:v>2789145</x:v>
      </x:c>
      <x:c r="J58" s="9" t="n">
        <x:f t="shared" si="0">IF($I$141&gt;0,I58/$I$141*100,"")</x:f>
        <x:v>0.14509027902787802</x:v>
      </x:c>
    </x:row>
    <x:row r="59">
      <x:c r="A59" s="6" t="s">
        <x:v>119</x:v>
      </x:c>
      <x:c r="B59" s="7" t="s">
        <x:v>120</x:v>
      </x:c>
      <x:c r="C59" s="8">
        <x:v>3</x:v>
      </x:c>
      <x:c r="D59" s="8">
        <x:v>5.25</x:v>
      </x:c>
      <x:c r="E59" s="8">
        <x:v>5355000</x:v>
      </x:c>
      <x:c r="F59" s="8" t="n">
        <x:f t="shared" si="1">IF(AND(D59&gt;0,E59&lt;&gt;""),E59/D59/12,"")</x:f>
        <x:v>85000</x:v>
      </x:c>
      <x:c r="G59" s="8">
        <x:v>14553</x:v>
      </x:c>
      <x:c r="H59" s="8">
        <x:v>0</x:v>
      </x:c>
      <x:c r="I59" s="8">
        <x:v>14553</x:v>
      </x:c>
      <x:c r="J59" s="9" t="n">
        <x:f t="shared" si="0">IF($I$141&gt;0,I59/$I$141*100,"")</x:f>
        <x:v>0.0007570416133591868</x:v>
      </x:c>
    </x:row>
    <x:row r="60">
      <x:c r="A60" s="6" t="s">
        <x:v>121</x:v>
      </x:c>
      <x:c r="B60" s="7" t="s">
        <x:v>122</x:v>
      </x:c>
      <x:c r="C60" s="8">
        <x:v>1</x:v>
      </x:c>
      <x:c r="D60" s="8">
        <x:v>1</x:v>
      </x:c>
      <x:c r="E60" s="8">
        <x:v>765000</x:v>
      </x:c>
      <x:c r="F60" s="8" t="n">
        <x:f t="shared" si="1">IF(AND(D60&gt;0,E60&lt;&gt;""),E60/D60/12,"")</x:f>
        <x:v>63750</x:v>
      </x:c>
      <x:c r="G60" s="8">
        <x:v>2079</x:v>
      </x:c>
      <x:c r="H60" s="8">
        <x:v>37179</x:v>
      </x:c>
      <x:c r="I60" s="8">
        <x:v>39258</x:v>
      </x:c>
      <x:c r="J60" s="9" t="n">
        <x:f t="shared" si="0">IF($I$141&gt;0,I60/$I$141*100,"")</x:f>
        <x:v>0.0020421864672064147</x:v>
      </x:c>
    </x:row>
    <x:row r="61">
      <x:c r="A61" s="6" t="s">
        <x:v>123</x:v>
      </x:c>
      <x:c r="B61" s="7" t="s">
        <x:v>124</x:v>
      </x:c>
      <x:c r="C61" s="8">
        <x:v>1</x:v>
      </x:c>
      <x:c r="D61" s="8"/>
      <x:c r="E61" s="8"/>
      <x:c r="F61" s="8" t="str">
        <x:f t="shared" si="1">IF(AND(D61&gt;0,E61&lt;&gt;""),E61/D61/12,"")</x:f>
      </x:c>
      <x:c r="G61" s="8"/>
      <x:c r="H61" s="8"/>
      <x:c r="I61" s="8">
        <x:v>0</x:v>
      </x:c>
      <x:c r="J61" s="9" t="n">
        <x:f t="shared" si="0">IF($I$141&gt;0,I61/$I$141*100,"")</x:f>
        <x:v>0</x:v>
      </x:c>
    </x:row>
    <x:row r="62">
      <x:c r="A62" s="6" t="s">
        <x:v>125</x:v>
      </x:c>
      <x:c r="B62" s="7" t="s">
        <x:v>126</x:v>
      </x:c>
      <x:c r="C62" s="8">
        <x:v>4</x:v>
      </x:c>
      <x:c r="D62" s="8">
        <x:v>10</x:v>
      </x:c>
      <x:c r="E62" s="8">
        <x:v>18819708</x:v>
      </x:c>
      <x:c r="F62" s="8" t="n">
        <x:f t="shared" si="1">IF(AND(D62&gt;0,E62&lt;&gt;""),E62/D62/12,"")</x:f>
        <x:v>156830.9</x:v>
      </x:c>
      <x:c r="G62" s="8">
        <x:v>1564542</x:v>
      </x:c>
      <x:c r="H62" s="8">
        <x:v>981695</x:v>
      </x:c>
      <x:c r="I62" s="8">
        <x:v>2546237</x:v>
      </x:c>
      <x:c r="J62" s="9" t="n">
        <x:f t="shared" si="0">IF($I$141&gt;0,I62/$I$141*100,"")</x:f>
        <x:v>0.13245429577921086</x:v>
      </x:c>
    </x:row>
    <x:row r="63">
      <x:c r="A63" s="6" t="s">
        <x:v>127</x:v>
      </x:c>
      <x:c r="B63" s="7" t="s">
        <x:v>128</x:v>
      </x:c>
      <x:c r="C63" s="8">
        <x:v>2</x:v>
      </x:c>
      <x:c r="D63" s="8"/>
      <x:c r="E63" s="8"/>
      <x:c r="F63" s="8" t="str">
        <x:f t="shared" si="1">IF(AND(D63&gt;0,E63&lt;&gt;""),E63/D63/12,"")</x:f>
      </x:c>
      <x:c r="G63" s="8"/>
      <x:c r="H63" s="8"/>
      <x:c r="I63" s="8">
        <x:v>0</x:v>
      </x:c>
      <x:c r="J63" s="9" t="n">
        <x:f t="shared" si="0">IF($I$141&gt;0,I63/$I$141*100,"")</x:f>
        <x:v>0</x:v>
      </x:c>
    </x:row>
    <x:row r="64">
      <x:c r="A64" s="6" t="s">
        <x:v>129</x:v>
      </x:c>
      <x:c r="B64" s="7" t="s">
        <x:v>130</x:v>
      </x:c>
      <x:c r="C64" s="8">
        <x:v>1</x:v>
      </x:c>
      <x:c r="D64" s="8">
        <x:v>31.916666666666668</x:v>
      </x:c>
      <x:c r="E64" s="8">
        <x:v>95556521</x:v>
      </x:c>
      <x:c r="F64" s="8" t="n">
        <x:f t="shared" si="1">IF(AND(D64&gt;0,E64&lt;&gt;""),E64/D64/12,"")</x:f>
        <x:v>249494.83289817232</x:v>
      </x:c>
      <x:c r="G64" s="8">
        <x:v>6539635</x:v>
      </x:c>
      <x:c r="H64" s="8"/>
      <x:c r="I64" s="8">
        <x:v>6539635</x:v>
      </x:c>
      <x:c r="J64" s="9" t="n">
        <x:f t="shared" si="0">IF($I$141&gt;0,I64/$I$141*100,"")</x:f>
        <x:v>0.3401893651604621</x:v>
      </x:c>
    </x:row>
    <x:row r="65">
      <x:c r="A65" s="6" t="s">
        <x:v>131</x:v>
      </x:c>
      <x:c r="B65" s="7" t="s">
        <x:v>132</x:v>
      </x:c>
      <x:c r="C65" s="8">
        <x:v>1</x:v>
      </x:c>
      <x:c r="D65" s="8"/>
      <x:c r="E65" s="8"/>
      <x:c r="F65" s="8" t="str">
        <x:f t="shared" si="1">IF(AND(D65&gt;0,E65&lt;&gt;""),E65/D65/12,"")</x:f>
      </x:c>
      <x:c r="G65" s="8"/>
      <x:c r="H65" s="8"/>
      <x:c r="I65" s="8">
        <x:v>0</x:v>
      </x:c>
      <x:c r="J65" s="9" t="n">
        <x:f t="shared" si="0">IF($I$141&gt;0,I65/$I$141*100,"")</x:f>
        <x:v>0</x:v>
      </x:c>
    </x:row>
    <x:row r="66">
      <x:c r="A66" s="6" t="s">
        <x:v>133</x:v>
      </x:c>
      <x:c r="B66" s="7" t="s">
        <x:v>134</x:v>
      </x:c>
      <x:c r="C66" s="8">
        <x:v>1</x:v>
      </x:c>
      <x:c r="D66" s="8">
        <x:v>2.0833333333333335</x:v>
      </x:c>
      <x:c r="E66" s="8">
        <x:v>6862000</x:v>
      </x:c>
      <x:c r="F66" s="8" t="n">
        <x:f t="shared" si="1">IF(AND(D66&gt;0,E66&lt;&gt;""),E66/D66/12,"")</x:f>
        <x:v>274479.99999999994</x:v>
      </x:c>
      <x:c r="G66" s="8">
        <x:v>474631</x:v>
      </x:c>
      <x:c r="H66" s="8">
        <x:v>0</x:v>
      </x:c>
      <x:c r="I66" s="8">
        <x:v>474631</x:v>
      </x:c>
      <x:c r="J66" s="9" t="n">
        <x:f t="shared" si="0">IF($I$141&gt;0,I66/$I$141*100,"")</x:f>
        <x:v>0.024690126983459362</x:v>
      </x:c>
    </x:row>
    <x:row r="67">
      <x:c r="A67" s="6" t="s">
        <x:v>135</x:v>
      </x:c>
      <x:c r="B67" s="7" t="s">
        <x:v>136</x:v>
      </x:c>
      <x:c r="C67" s="8">
        <x:v>1</x:v>
      </x:c>
      <x:c r="D67" s="8">
        <x:v>1</x:v>
      </x:c>
      <x:c r="E67" s="8">
        <x:v>510000</x:v>
      </x:c>
      <x:c r="F67" s="8" t="n">
        <x:f t="shared" si="1">IF(AND(D67&gt;0,E67&lt;&gt;""),E67/D67/12,"")</x:f>
        <x:v>42500</x:v>
      </x:c>
      <x:c r="G67" s="8">
        <x:v>1386</x:v>
      </x:c>
      <x:c r="H67" s="8">
        <x:v>36618</x:v>
      </x:c>
      <x:c r="I67" s="8">
        <x:v>38004</x:v>
      </x:c>
      <x:c r="J67" s="9" t="n">
        <x:f t="shared" si="0">IF($I$141&gt;0,I67/$I$141*100,"")</x:f>
        <x:v>0.0019769538565314734</x:v>
      </x:c>
    </x:row>
    <x:row r="68">
      <x:c r="A68" s="6" t="s">
        <x:v>137</x:v>
      </x:c>
      <x:c r="B68" s="7" t="s">
        <x:v>138</x:v>
      </x:c>
      <x:c r="C68" s="8">
        <x:v>1</x:v>
      </x:c>
      <x:c r="D68" s="8">
        <x:v>4.083333333333333</x:v>
      </x:c>
      <x:c r="E68" s="8">
        <x:v>7848230</x:v>
      </x:c>
      <x:c r="F68" s="8" t="n">
        <x:f t="shared" si="1">IF(AND(D68&gt;0,E68&lt;&gt;""),E68/D68/12,"")</x:f>
        <x:v>160167.95918367346</x:v>
      </x:c>
      <x:c r="G68" s="8">
        <x:v>157310</x:v>
      </x:c>
      <x:c r="H68" s="8">
        <x:v>414568</x:v>
      </x:c>
      <x:c r="I68" s="8">
        <x:v>571878</x:v>
      </x:c>
      <x:c r="J68" s="9" t="n">
        <x:f t="shared" si="0">IF($I$141&gt;0,I68/$I$141*100,"")</x:f>
        <x:v>0.029748879527563044</x:v>
      </x:c>
    </x:row>
    <x:row r="69">
      <x:c r="A69" s="6" t="s">
        <x:v>139</x:v>
      </x:c>
      <x:c r="B69" s="7" t="s">
        <x:v>140</x:v>
      </x:c>
      <x:c r="C69" s="8">
        <x:v>1</x:v>
      </x:c>
      <x:c r="D69" s="8">
        <x:v>21</x:v>
      </x:c>
      <x:c r="E69" s="8">
        <x:v>52600585</x:v>
      </x:c>
      <x:c r="F69" s="8" t="n">
        <x:f t="shared" si="1">IF(AND(D69&gt;0,E69&lt;&gt;""),E69/D69/12,"")</x:f>
        <x:v>208732.48015873018</x:v>
      </x:c>
      <x:c r="G69" s="8">
        <x:v>3538177</x:v>
      </x:c>
      <x:c r="H69" s="8">
        <x:v>3459467</x:v>
      </x:c>
      <x:c r="I69" s="8">
        <x:v>6997644</x:v>
      </x:c>
      <x:c r="J69" s="9" t="n">
        <x:f t="shared" ref="J69:J132" si="2">IF($I$141&gt;0,I69/$I$141*100,"")</x:f>
        <x:v>0.3640148219249112</x:v>
      </x:c>
    </x:row>
    <x:row r="70">
      <x:c r="A70" s="6" t="s">
        <x:v>141</x:v>
      </x:c>
      <x:c r="B70" s="7" t="s">
        <x:v>142</x:v>
      </x:c>
      <x:c r="C70" s="8">
        <x:v>2</x:v>
      </x:c>
      <x:c r="D70" s="8">
        <x:v>2.5</x:v>
      </x:c>
      <x:c r="E70" s="8">
        <x:v>4754408</x:v>
      </x:c>
      <x:c r="F70" s="8" t="n">
        <x:f t="shared" ref="F70:F133" si="3">IF(AND(D70&gt;0,E70&lt;&gt;""),E70/D70/12,"")</x:f>
        <x:v>158480.26666666666</x:v>
      </x:c>
      <x:c r="G70" s="8">
        <x:v>367451</x:v>
      </x:c>
      <x:c r="H70" s="8">
        <x:v>270274</x:v>
      </x:c>
      <x:c r="I70" s="8">
        <x:v>637725</x:v>
      </x:c>
      <x:c r="J70" s="9" t="n">
        <x:f t="shared" si="2">IF($I$141&gt;0,I70/$I$141*100,"")</x:f>
        <x:v>0.03317421582350631</x:v>
      </x:c>
    </x:row>
    <x:row r="71">
      <x:c r="A71" s="6" t="s">
        <x:v>143</x:v>
      </x:c>
      <x:c r="B71" s="7" t="s">
        <x:v>144</x:v>
      </x:c>
      <x:c r="C71" s="8">
        <x:v>1</x:v>
      </x:c>
      <x:c r="D71" s="8">
        <x:v>1</x:v>
      </x:c>
      <x:c r="E71" s="8">
        <x:v>720000</x:v>
      </x:c>
      <x:c r="F71" s="8" t="n">
        <x:f t="shared" si="3">IF(AND(D71&gt;0,E71&lt;&gt;""),E71/D71/12,"")</x:f>
        <x:v>60000</x:v>
      </x:c>
      <x:c r="G71" s="8">
        <x:v>2200</x:v>
      </x:c>
      <x:c r="H71" s="8">
        <x:v>36392</x:v>
      </x:c>
      <x:c r="I71" s="8">
        <x:v>38592</x:v>
      </x:c>
      <x:c r="J71" s="9" t="n">
        <x:f t="shared" si="2">IF($I$141&gt;0,I71/$I$141*100,"")</x:f>
        <x:v>0.002007541396465178</x:v>
      </x:c>
    </x:row>
    <x:row r="72">
      <x:c r="A72" s="6" t="s">
        <x:v>145</x:v>
      </x:c>
      <x:c r="B72" s="7" t="s">
        <x:v>146</x:v>
      </x:c>
      <x:c r="C72" s="8">
        <x:v>2</x:v>
      </x:c>
      <x:c r="D72" s="8">
        <x:v>3.5833333333333335</x:v>
      </x:c>
      <x:c r="E72" s="8">
        <x:v>17330288</x:v>
      </x:c>
      <x:c r="F72" s="8" t="n">
        <x:f t="shared" si="3">IF(AND(D72&gt;0,E72&lt;&gt;""),E72/D72/12,"")</x:f>
        <x:v>403029.9534883721</x:v>
      </x:c>
      <x:c r="G72" s="8">
        <x:v>1189054</x:v>
      </x:c>
      <x:c r="H72" s="8">
        <x:v>1116562</x:v>
      </x:c>
      <x:c r="I72" s="8">
        <x:v>2305616</x:v>
      </x:c>
      <x:c r="J72" s="9" t="n">
        <x:f t="shared" si="2">IF($I$141&gt;0,I72/$I$141*100,"")</x:f>
        <x:v>0.11993728141460555</x:v>
      </x:c>
    </x:row>
    <x:row r="73">
      <x:c r="A73" s="6" t="s">
        <x:v>147</x:v>
      </x:c>
      <x:c r="B73" s="7" t="s">
        <x:v>148</x:v>
      </x:c>
      <x:c r="C73" s="8">
        <x:v>1</x:v>
      </x:c>
      <x:c r="D73" s="8"/>
      <x:c r="E73" s="8"/>
      <x:c r="F73" s="8" t="str">
        <x:f t="shared" si="3">IF(AND(D73&gt;0,E73&lt;&gt;""),E73/D73/12,"")</x:f>
      </x:c>
      <x:c r="G73" s="8"/>
      <x:c r="H73" s="8"/>
      <x:c r="I73" s="8">
        <x:v>0</x:v>
      </x:c>
      <x:c r="J73" s="9" t="n">
        <x:f t="shared" si="2">IF($I$141&gt;0,I73/$I$141*100,"")</x:f>
        <x:v>0</x:v>
      </x:c>
    </x:row>
    <x:row r="74">
      <x:c r="A74" s="6" t="s">
        <x:v>149</x:v>
      </x:c>
      <x:c r="B74" s="7" t="s">
        <x:v>150</x:v>
      </x:c>
      <x:c r="C74" s="8">
        <x:v>2</x:v>
      </x:c>
      <x:c r="D74" s="8">
        <x:v>4</x:v>
      </x:c>
      <x:c r="E74" s="8">
        <x:v>7874550</x:v>
      </x:c>
      <x:c r="F74" s="8" t="n">
        <x:f t="shared" si="3">IF(AND(D74&gt;0,E74&lt;&gt;""),E74/D74/12,"")</x:f>
        <x:v>164053.125</x:v>
      </x:c>
      <x:c r="G74" s="8">
        <x:v>458496</x:v>
      </x:c>
      <x:c r="H74" s="8">
        <x:v>410247</x:v>
      </x:c>
      <x:c r="I74" s="8">
        <x:v>868743</x:v>
      </x:c>
      <x:c r="J74" s="9" t="n">
        <x:f t="shared" si="2">IF($I$141&gt;0,I74/$I$141*100,"")</x:f>
        <x:v>0.045191685722153506</x:v>
      </x:c>
    </x:row>
    <x:row r="75">
      <x:c r="A75" s="6" t="s">
        <x:v>151</x:v>
      </x:c>
      <x:c r="B75" s="7" t="s">
        <x:v>152</x:v>
      </x:c>
      <x:c r="C75" s="8">
        <x:v>1</x:v>
      </x:c>
      <x:c r="D75" s="8">
        <x:v>1.25</x:v>
      </x:c>
      <x:c r="E75" s="8">
        <x:v>1275000</x:v>
      </x:c>
      <x:c r="F75" s="8" t="n">
        <x:f t="shared" si="3">IF(AND(D75&gt;0,E75&lt;&gt;""),E75/D75/12,"")</x:f>
        <x:v>85000</x:v>
      </x:c>
      <x:c r="G75" s="8">
        <x:v>3465</x:v>
      </x:c>
      <x:c r="H75" s="8">
        <x:v>61965</x:v>
      </x:c>
      <x:c r="I75" s="8">
        <x:v>65430</x:v>
      </x:c>
      <x:c r="J75" s="9" t="n">
        <x:f t="shared" si="2">IF($I$141&gt;0,I75/$I$141*100,"")</x:f>
        <x:v>0.003403644112010691</x:v>
      </x:c>
    </x:row>
    <x:row r="76">
      <x:c r="A76" s="6" t="s">
        <x:v>153</x:v>
      </x:c>
      <x:c r="B76" s="7" t="s">
        <x:v>154</x:v>
      </x:c>
      <x:c r="C76" s="8">
        <x:v>11</x:v>
      </x:c>
      <x:c r="D76" s="8">
        <x:v>55.333333333333336</x:v>
      </x:c>
      <x:c r="E76" s="8">
        <x:v>195424520</x:v>
      </x:c>
      <x:c r="F76" s="8" t="n">
        <x:f t="shared" si="3">IF(AND(D76&gt;0,E76&lt;&gt;""),E76/D76/12,"")</x:f>
        <x:v>294314.0361445783</x:v>
      </x:c>
      <x:c r="G76" s="8">
        <x:v>22916763</x:v>
      </x:c>
      <x:c r="H76" s="8">
        <x:v>11608473</x:v>
      </x:c>
      <x:c r="I76" s="8">
        <x:v>34525236</x:v>
      </x:c>
      <x:c r="J76" s="9" t="n">
        <x:f t="shared" si="2">IF($I$141&gt;0,I76/$I$141*100,"")</x:f>
        <x:v>1.7959898552220626</x:v>
      </x:c>
    </x:row>
    <x:row r="77">
      <x:c r="A77" s="6" t="s">
        <x:v>155</x:v>
      </x:c>
      <x:c r="B77" s="7" t="s">
        <x:v>156</x:v>
      </x:c>
      <x:c r="C77" s="8">
        <x:v>5</x:v>
      </x:c>
      <x:c r="D77" s="8">
        <x:v>22.25</x:v>
      </x:c>
      <x:c r="E77" s="8">
        <x:v>15486812</x:v>
      </x:c>
      <x:c r="F77" s="8" t="n">
        <x:f t="shared" si="3">IF(AND(D77&gt;0,E77&lt;&gt;""),E77/D77/12,"")</x:f>
        <x:v>58003.041198501865</x:v>
      </x:c>
      <x:c r="G77" s="8">
        <x:v>199940</x:v>
      </x:c>
      <x:c r="H77" s="8">
        <x:v>100823</x:v>
      </x:c>
      <x:c r="I77" s="8">
        <x:v>300763</x:v>
      </x:c>
      <x:c r="J77" s="9" t="n">
        <x:f t="shared" si="2">IF($I$141&gt;0,I77/$I$141*100,"")</x:f>
        <x:v>0.015645578695715597</x:v>
      </x:c>
    </x:row>
    <x:row r="78">
      <x:c r="A78" s="6" t="s">
        <x:v>157</x:v>
      </x:c>
      <x:c r="B78" s="7" t="s">
        <x:v>158</x:v>
      </x:c>
      <x:c r="C78" s="8">
        <x:v>33</x:v>
      </x:c>
      <x:c r="D78" s="8">
        <x:v>73.518939393939405</x:v>
      </x:c>
      <x:c r="E78" s="8">
        <x:v>67467449</x:v>
      </x:c>
      <x:c r="F78" s="8" t="n">
        <x:f t="shared" si="3">IF(AND(D78&gt;0,E78&lt;&gt;""),E78/D78/12,"")</x:f>
        <x:v>76474.00061826986</x:v>
      </x:c>
      <x:c r="G78" s="8">
        <x:v>1238749</x:v>
      </x:c>
      <x:c r="H78" s="8">
        <x:v>0</x:v>
      </x:c>
      <x:c r="I78" s="8">
        <x:v>1238749</x:v>
      </x:c>
      <x:c r="J78" s="9" t="n">
        <x:f t="shared" si="2">IF($I$141&gt;0,I78/$I$141*100,"")</x:f>
        <x:v>0.06443925936281723</x:v>
      </x:c>
    </x:row>
    <x:row r="79">
      <x:c r="A79" s="6" t="s">
        <x:v>159</x:v>
      </x:c>
      <x:c r="B79" s="7" t="s">
        <x:v>160</x:v>
      </x:c>
      <x:c r="C79" s="8">
        <x:v>1</x:v>
      </x:c>
      <x:c r="D79" s="8">
        <x:v>4.625</x:v>
      </x:c>
      <x:c r="E79" s="8">
        <x:v>3315000</x:v>
      </x:c>
      <x:c r="F79" s="8" t="n">
        <x:f t="shared" si="3">IF(AND(D79&gt;0,E79&lt;&gt;""),E79/D79/12,"")</x:f>
        <x:v>59729.729729729734</x:v>
      </x:c>
      <x:c r="G79" s="8">
        <x:v>9009</x:v>
      </x:c>
      <x:c r="H79" s="8">
        <x:v>0</x:v>
      </x:c>
      <x:c r="I79" s="8">
        <x:v>9009</x:v>
      </x:c>
      <x:c r="J79" s="9" t="n">
        <x:f t="shared" si="2">IF($I$141&gt;0,I79/$I$141*100,"")</x:f>
        <x:v>0.00046864480826997276</x:v>
      </x:c>
    </x:row>
    <x:row r="80">
      <x:c r="A80" s="6" t="s">
        <x:v>161</x:v>
      </x:c>
      <x:c r="B80" s="7" t="s">
        <x:v>162</x:v>
      </x:c>
      <x:c r="C80" s="8">
        <x:v>1</x:v>
      </x:c>
      <x:c r="D80" s="8"/>
      <x:c r="E80" s="8"/>
      <x:c r="F80" s="8" t="str">
        <x:f t="shared" si="3">IF(AND(D80&gt;0,E80&lt;&gt;""),E80/D80/12,"")</x:f>
      </x:c>
      <x:c r="G80" s="8"/>
      <x:c r="H80" s="8"/>
      <x:c r="I80" s="8">
        <x:v>0</x:v>
      </x:c>
      <x:c r="J80" s="9" t="n">
        <x:f t="shared" si="2">IF($I$141&gt;0,I80/$I$141*100,"")</x:f>
        <x:v>0</x:v>
      </x:c>
    </x:row>
    <x:row r="81">
      <x:c r="A81" s="6" t="s">
        <x:v>163</x:v>
      </x:c>
      <x:c r="B81" s="7" t="s">
        <x:v>164</x:v>
      </x:c>
      <x:c r="C81" s="8">
        <x:v>5</x:v>
      </x:c>
      <x:c r="D81" s="8">
        <x:v>14.583333333333332</x:v>
      </x:c>
      <x:c r="E81" s="8">
        <x:v>13105000</x:v>
      </x:c>
      <x:c r="F81" s="8" t="n">
        <x:f t="shared" si="3">IF(AND(D81&gt;0,E81&lt;&gt;""),E81/D81/12,"")</x:f>
        <x:v>74885.71428571429</x:v>
      </x:c>
      <x:c r="G81" s="8">
        <x:v>127095</x:v>
      </x:c>
      <x:c r="H81" s="8">
        <x:v>0</x:v>
      </x:c>
      <x:c r="I81" s="8">
        <x:v>127095</x:v>
      </x:c>
      <x:c r="J81" s="9" t="n">
        <x:f t="shared" si="2">IF($I$141&gt;0,I81/$I$141*100,"")</x:f>
        <x:v>0.006611434333119346</x:v>
      </x:c>
    </x:row>
    <x:row r="82">
      <x:c r="A82" s="6" t="s">
        <x:v>165</x:v>
      </x:c>
      <x:c r="B82" s="7" t="s">
        <x:v>166</x:v>
      </x:c>
      <x:c r="C82" s="8">
        <x:v>1</x:v>
      </x:c>
      <x:c r="D82" s="8">
        <x:v>184.91666666666666</x:v>
      </x:c>
      <x:c r="E82" s="8">
        <x:v>725380666</x:v>
      </x:c>
      <x:c r="F82" s="8" t="n">
        <x:f t="shared" si="3">IF(AND(D82&gt;0,E82&lt;&gt;""),E82/D82/12,"")</x:f>
        <x:v>326895.2978819288</x:v>
      </x:c>
      <x:c r="G82" s="8">
        <x:v>50718654</x:v>
      </x:c>
      <x:c r="H82" s="8">
        <x:v>39644068</x:v>
      </x:c>
      <x:c r="I82" s="8">
        <x:v>90362722</x:v>
      </x:c>
      <x:c r="J82" s="9" t="n">
        <x:f t="shared" si="2">IF($I$141&gt;0,I82/$I$141*100,"")</x:f>
        <x:v>4.700634979070135</x:v>
      </x:c>
    </x:row>
    <x:row r="83">
      <x:c r="A83" s="6" t="s">
        <x:v>167</x:v>
      </x:c>
      <x:c r="B83" s="7" t="s">
        <x:v>168</x:v>
      </x:c>
      <x:c r="C83" s="8">
        <x:v>7</x:v>
      </x:c>
      <x:c r="D83" s="8">
        <x:v>15.583333333333334</x:v>
      </x:c>
      <x:c r="E83" s="8">
        <x:v>22260221</x:v>
      </x:c>
      <x:c r="F83" s="8" t="n">
        <x:f t="shared" si="3">IF(AND(D83&gt;0,E83&lt;&gt;""),E83/D83/12,"")</x:f>
        <x:v>119038.61497326203</x:v>
      </x:c>
      <x:c r="G83" s="8">
        <x:v>898316</x:v>
      </x:c>
      <x:c r="H83" s="8">
        <x:v>634876</x:v>
      </x:c>
      <x:c r="I83" s="8">
        <x:v>1533192</x:v>
      </x:c>
      <x:c r="J83" s="9" t="n">
        <x:f t="shared" si="2">IF($I$141&gt;0,I83/$I$141*100,"")</x:f>
        <x:v>0.07975607402387125</x:v>
      </x:c>
    </x:row>
    <x:row r="84">
      <x:c r="A84" s="6" t="s">
        <x:v>169</x:v>
      </x:c>
      <x:c r="B84" s="7" t="s">
        <x:v>170</x:v>
      </x:c>
      <x:c r="C84" s="8">
        <x:v>1</x:v>
      </x:c>
      <x:c r="D84" s="8"/>
      <x:c r="E84" s="8"/>
      <x:c r="F84" s="8" t="str">
        <x:f t="shared" si="3">IF(AND(D84&gt;0,E84&lt;&gt;""),E84/D84/12,"")</x:f>
      </x:c>
      <x:c r="G84" s="8"/>
      <x:c r="H84" s="8"/>
      <x:c r="I84" s="8">
        <x:v>0</x:v>
      </x:c>
      <x:c r="J84" s="9" t="n">
        <x:f t="shared" si="2">IF($I$141&gt;0,I84/$I$141*100,"")</x:f>
        <x:v>0</x:v>
      </x:c>
    </x:row>
    <x:row r="85">
      <x:c r="A85" s="6" t="s">
        <x:v>171</x:v>
      </x:c>
      <x:c r="B85" s="7" t="s">
        <x:v>172</x:v>
      </x:c>
      <x:c r="C85" s="8">
        <x:v>1</x:v>
      </x:c>
      <x:c r="D85" s="8">
        <x:v>2</x:v>
      </x:c>
      <x:c r="E85" s="8">
        <x:v>640000</x:v>
      </x:c>
      <x:c r="F85" s="8" t="n">
        <x:f t="shared" si="3">IF(AND(D85&gt;0,E85&lt;&gt;""),E85/D85/12,"")</x:f>
        <x:v>26666.666666666668</x:v>
      </x:c>
      <x:c r="G85" s="8">
        <x:v>35644</x:v>
      </x:c>
      <x:c r="H85" s="8">
        <x:v>0</x:v>
      </x:c>
      <x:c r="I85" s="8">
        <x:v>35644</x:v>
      </x:c>
      <x:c r="J85" s="9" t="n">
        <x:f t="shared" si="2">IF($I$141&gt;0,I85/$I$141*100,"")</x:f>
        <x:v>0.0018541875397907544</x:v>
      </x:c>
    </x:row>
    <x:row r="86">
      <x:c r="A86" s="6" t="s">
        <x:v>173</x:v>
      </x:c>
      <x:c r="B86" s="7" t="s">
        <x:v>174</x:v>
      </x:c>
      <x:c r="C86" s="8">
        <x:v>3</x:v>
      </x:c>
      <x:c r="D86" s="8">
        <x:v>1</x:v>
      </x:c>
      <x:c r="E86" s="8">
        <x:v>255000</x:v>
      </x:c>
      <x:c r="F86" s="8" t="n">
        <x:f t="shared" si="3">IF(AND(D86&gt;0,E86&lt;&gt;""),E86/D86/12,"")</x:f>
        <x:v>21250</x:v>
      </x:c>
      <x:c r="G86" s="8">
        <x:v>2244</x:v>
      </x:c>
      <x:c r="H86" s="8">
        <x:v>12393</x:v>
      </x:c>
      <x:c r="I86" s="8">
        <x:v>14637</x:v>
      </x:c>
      <x:c r="J86" s="9" t="n">
        <x:f t="shared" si="2">IF($I$141&gt;0,I86/$I$141*100,"")</x:f>
        <x:v>0.0007614112619211445</x:v>
      </x:c>
    </x:row>
    <x:row r="87">
      <x:c r="A87" s="6" t="s">
        <x:v>175</x:v>
      </x:c>
      <x:c r="B87" s="7" t="s">
        <x:v>176</x:v>
      </x:c>
      <x:c r="C87" s="8">
        <x:v>2</x:v>
      </x:c>
      <x:c r="D87" s="8">
        <x:v>3</x:v>
      </x:c>
      <x:c r="E87" s="8">
        <x:v>5068104</x:v>
      </x:c>
      <x:c r="F87" s="8" t="n">
        <x:f t="shared" si="3">IF(AND(D87&gt;0,E87&lt;&gt;""),E87/D87/12,"")</x:f>
        <x:v>140780.66666666666</x:v>
      </x:c>
      <x:c r="G87" s="8">
        <x:v>259920</x:v>
      </x:c>
      <x:c r="H87" s="8">
        <x:v>264036</x:v>
      </x:c>
      <x:c r="I87" s="8">
        <x:v>523956</x:v>
      </x:c>
      <x:c r="J87" s="9" t="n">
        <x:f t="shared" si="2">IF($I$141&gt;0,I87/$I$141*100,"")</x:f>
        <x:v>0.027255995022966124</x:v>
      </x:c>
    </x:row>
    <x:row r="88">
      <x:c r="A88" s="6" t="s">
        <x:v>177</x:v>
      </x:c>
      <x:c r="B88" s="7" t="s">
        <x:v>178</x:v>
      </x:c>
      <x:c r="C88" s="8">
        <x:v>1</x:v>
      </x:c>
      <x:c r="D88" s="8">
        <x:v>1</x:v>
      </x:c>
      <x:c r="E88" s="8"/>
      <x:c r="F88" s="8" t="str">
        <x:f t="shared" si="3">IF(AND(D88&gt;0,E88&lt;&gt;""),E88/D88/12,"")</x:f>
      </x:c>
      <x:c r="G88" s="8">
        <x:v>0</x:v>
      </x:c>
      <x:c r="H88" s="8">
        <x:v>0</x:v>
      </x:c>
      <x:c r="I88" s="8">
        <x:v>0</x:v>
      </x:c>
      <x:c r="J88" s="9" t="n">
        <x:f t="shared" si="2">IF($I$141&gt;0,I88/$I$141*100,"")</x:f>
        <x:v>0</x:v>
      </x:c>
    </x:row>
    <x:row r="89">
      <x:c r="A89" s="6" t="s">
        <x:v>179</x:v>
      </x:c>
      <x:c r="B89" s="7" t="s">
        <x:v>180</x:v>
      </x:c>
      <x:c r="C89" s="8">
        <x:v>1</x:v>
      </x:c>
      <x:c r="D89" s="8">
        <x:v>1</x:v>
      </x:c>
      <x:c r="E89" s="8"/>
      <x:c r="F89" s="8" t="str">
        <x:f t="shared" si="3">IF(AND(D89&gt;0,E89&lt;&gt;""),E89/D89/12,"")</x:f>
      </x:c>
      <x:c r="G89" s="8"/>
      <x:c r="H89" s="8"/>
      <x:c r="I89" s="8">
        <x:v>0</x:v>
      </x:c>
      <x:c r="J89" s="9" t="n">
        <x:f t="shared" si="2">IF($I$141&gt;0,I89/$I$141*100,"")</x:f>
        <x:v>0</x:v>
      </x:c>
    </x:row>
    <x:row r="90">
      <x:c r="A90" s="6" t="s">
        <x:v>181</x:v>
      </x:c>
      <x:c r="B90" s="7" t="s">
        <x:v>182</x:v>
      </x:c>
      <x:c r="C90" s="8">
        <x:v>3</x:v>
      </x:c>
      <x:c r="D90" s="8"/>
      <x:c r="E90" s="8"/>
      <x:c r="F90" s="8" t="str">
        <x:f t="shared" si="3">IF(AND(D90&gt;0,E90&lt;&gt;""),E90/D90/12,"")</x:f>
      </x:c>
      <x:c r="G90" s="8">
        <x:v>0</x:v>
      </x:c>
      <x:c r="H90" s="8"/>
      <x:c r="I90" s="8">
        <x:v>0</x:v>
      </x:c>
      <x:c r="J90" s="9" t="n">
        <x:f t="shared" si="2">IF($I$141&gt;0,I90/$I$141*100,"")</x:f>
        <x:v>0</x:v>
      </x:c>
    </x:row>
    <x:row r="91">
      <x:c r="A91" s="6" t="s">
        <x:v>183</x:v>
      </x:c>
      <x:c r="B91" s="7" t="s">
        <x:v>184</x:v>
      </x:c>
      <x:c r="C91" s="8">
        <x:v>2</x:v>
      </x:c>
      <x:c r="D91" s="8">
        <x:v>1</x:v>
      </x:c>
      <x:c r="E91" s="8"/>
      <x:c r="F91" s="8" t="str">
        <x:f t="shared" si="3">IF(AND(D91&gt;0,E91&lt;&gt;""),E91/D91/12,"")</x:f>
      </x:c>
      <x:c r="G91" s="8"/>
      <x:c r="H91" s="8"/>
      <x:c r="I91" s="8">
        <x:v>0</x:v>
      </x:c>
      <x:c r="J91" s="9" t="n">
        <x:f t="shared" si="2">IF($I$141&gt;0,I91/$I$141*100,"")</x:f>
        <x:v>0</x:v>
      </x:c>
    </x:row>
    <x:row r="92">
      <x:c r="A92" s="6" t="s">
        <x:v>185</x:v>
      </x:c>
      <x:c r="B92" s="7" t="s">
        <x:v>186</x:v>
      </x:c>
      <x:c r="C92" s="8">
        <x:v>1</x:v>
      </x:c>
      <x:c r="D92" s="8"/>
      <x:c r="E92" s="8"/>
      <x:c r="F92" s="8" t="str">
        <x:f t="shared" si="3">IF(AND(D92&gt;0,E92&lt;&gt;""),E92/D92/12,"")</x:f>
      </x:c>
      <x:c r="G92" s="8"/>
      <x:c r="H92" s="8"/>
      <x:c r="I92" s="8">
        <x:v>0</x:v>
      </x:c>
      <x:c r="J92" s="9" t="n">
        <x:f t="shared" si="2">IF($I$141&gt;0,I92/$I$141*100,"")</x:f>
        <x:v>0</x:v>
      </x:c>
    </x:row>
    <x:row r="93">
      <x:c r="A93" s="6" t="s">
        <x:v>187</x:v>
      </x:c>
      <x:c r="B93" s="7" t="s">
        <x:v>188</x:v>
      </x:c>
      <x:c r="C93" s="8">
        <x:v>2</x:v>
      </x:c>
      <x:c r="D93" s="8">
        <x:v>1</x:v>
      </x:c>
      <x:c r="E93" s="8"/>
      <x:c r="F93" s="8" t="str">
        <x:f t="shared" si="3">IF(AND(D93&gt;0,E93&lt;&gt;""),E93/D93/12,"")</x:f>
      </x:c>
      <x:c r="G93" s="8">
        <x:v>0</x:v>
      </x:c>
      <x:c r="H93" s="8">
        <x:v>0</x:v>
      </x:c>
      <x:c r="I93" s="8">
        <x:v>0</x:v>
      </x:c>
      <x:c r="J93" s="9" t="n">
        <x:f t="shared" si="2">IF($I$141&gt;0,I93/$I$141*100,"")</x:f>
        <x:v>0</x:v>
      </x:c>
    </x:row>
    <x:row r="94">
      <x:c r="A94" s="6" t="s">
        <x:v>189</x:v>
      </x:c>
      <x:c r="B94" s="7" t="s">
        <x:v>190</x:v>
      </x:c>
      <x:c r="C94" s="8">
        <x:v>2</x:v>
      </x:c>
      <x:c r="D94" s="8">
        <x:v>4.5714285714285712</x:v>
      </x:c>
      <x:c r="E94" s="8">
        <x:v>3910000</x:v>
      </x:c>
      <x:c r="F94" s="8" t="n">
        <x:f t="shared" si="3">IF(AND(D94&gt;0,E94&lt;&gt;""),E94/D94/12,"")</x:f>
        <x:v>71276.04166666667</x:v>
      </x:c>
      <x:c r="G94" s="8">
        <x:v>178682</x:v>
      </x:c>
      <x:c r="H94" s="8">
        <x:v>83283</x:v>
      </x:c>
      <x:c r="I94" s="8">
        <x:v>261965</x:v>
      </x:c>
      <x:c r="J94" s="9" t="n">
        <x:f t="shared" si="2">IF($I$141&gt;0,I94/$I$141*100,"")</x:f>
        <x:v>0.013627321256348473</x:v>
      </x:c>
    </x:row>
    <x:row r="95">
      <x:c r="A95" s="6" t="s">
        <x:v>191</x:v>
      </x:c>
      <x:c r="B95" s="7" t="s">
        <x:v>192</x:v>
      </x:c>
      <x:c r="C95" s="8">
        <x:v>2</x:v>
      </x:c>
      <x:c r="D95" s="8">
        <x:v>8</x:v>
      </x:c>
      <x:c r="E95" s="8">
        <x:v>30528430</x:v>
      </x:c>
      <x:c r="F95" s="8" t="n">
        <x:f t="shared" si="3">IF(AND(D95&gt;0,E95&lt;&gt;""),E95/D95/12,"")</x:f>
        <x:v>318004.4791666667</x:v>
      </x:c>
      <x:c r="G95" s="8">
        <x:v>2175553</x:v>
      </x:c>
      <x:c r="H95" s="8">
        <x:v>0</x:v>
      </x:c>
      <x:c r="I95" s="8">
        <x:v>2175553</x:v>
      </x:c>
      <x:c r="J95" s="9" t="n">
        <x:f t="shared" si="2">IF($I$141&gt;0,I95/$I$141*100,"")</x:f>
        <x:v>0.11317145283229703</x:v>
      </x:c>
    </x:row>
    <x:row r="96">
      <x:c r="A96" s="6" t="s">
        <x:v>193</x:v>
      </x:c>
      <x:c r="B96" s="7" t="s">
        <x:v>194</x:v>
      </x:c>
      <x:c r="C96" s="8">
        <x:v>2</x:v>
      </x:c>
      <x:c r="D96" s="8">
        <x:v>6</x:v>
      </x:c>
      <x:c r="E96" s="8">
        <x:v>170000</x:v>
      </x:c>
      <x:c r="F96" s="8" t="n">
        <x:f t="shared" si="3">IF(AND(D96&gt;0,E96&lt;&gt;""),E96/D96/12,"")</x:f>
        <x:v>2361.111111111111</x:v>
      </x:c>
      <x:c r="G96" s="8">
        <x:v>462</x:v>
      </x:c>
      <x:c r="H96" s="8">
        <x:v>5668</x:v>
      </x:c>
      <x:c r="I96" s="8">
        <x:v>6130</x:v>
      </x:c>
      <x:c r="J96" s="9" t="n">
        <x:f t="shared" si="2">IF($I$141&gt;0,I96/$I$141*100,"")</x:f>
        <x:v>0.00031888030577144333</x:v>
      </x:c>
    </x:row>
    <x:row r="97">
      <x:c r="A97" s="6" t="s">
        <x:v>195</x:v>
      </x:c>
      <x:c r="B97" s="7" t="s">
        <x:v>196</x:v>
      </x:c>
      <x:c r="C97" s="8">
        <x:v>6</x:v>
      </x:c>
      <x:c r="D97" s="8">
        <x:v>66.5</x:v>
      </x:c>
      <x:c r="E97" s="8">
        <x:v>80287210</x:v>
      </x:c>
      <x:c r="F97" s="8" t="n">
        <x:f t="shared" si="3">IF(AND(D97&gt;0,E97&lt;&gt;""),E97/D97/12,"")</x:f>
        <x:v>100610.5388471178</x:v>
      </x:c>
      <x:c r="G97" s="8">
        <x:v>3690602</x:v>
      </x:c>
      <x:c r="H97" s="8">
        <x:v>1560290</x:v>
      </x:c>
      <x:c r="I97" s="8">
        <x:v>5250892</x:v>
      </x:c>
      <x:c r="J97" s="9" t="n">
        <x:f t="shared" si="2">IF($I$141&gt;0,I97/$I$141*100,"")</x:f>
        <x:v>0.27314943662851965</x:v>
      </x:c>
    </x:row>
    <x:row r="98">
      <x:c r="A98" s="6" t="s">
        <x:v>197</x:v>
      </x:c>
      <x:c r="B98" s="7" t="s">
        <x:v>198</x:v>
      </x:c>
      <x:c r="C98" s="8">
        <x:v>1</x:v>
      </x:c>
      <x:c r="D98" s="8">
        <x:v>6.083333333333333</x:v>
      </x:c>
      <x:c r="E98" s="8">
        <x:v>27087642</x:v>
      </x:c>
      <x:c r="F98" s="8" t="n">
        <x:f t="shared" si="3">IF(AND(D98&gt;0,E98&lt;&gt;""),E98/D98/12,"")</x:f>
        <x:v>371063.5890410959</x:v>
      </x:c>
      <x:c r="G98" s="8">
        <x:v>1905938</x:v>
      </x:c>
      <x:c r="H98" s="8">
        <x:v>1696705</x:v>
      </x:c>
      <x:c r="I98" s="8">
        <x:v>3602643</x:v>
      </x:c>
      <x:c r="J98" s="9" t="n">
        <x:f t="shared" si="2">IF($I$141&gt;0,I98/$I$141*100,"")</x:f>
        <x:v>0.18740814052615823</x:v>
      </x:c>
    </x:row>
    <x:row r="99">
      <x:c r="A99" s="6" t="s">
        <x:v>199</x:v>
      </x:c>
      <x:c r="B99" s="7" t="s">
        <x:v>200</x:v>
      </x:c>
      <x:c r="C99" s="8">
        <x:v>1</x:v>
      </x:c>
      <x:c r="D99" s="8"/>
      <x:c r="E99" s="8"/>
      <x:c r="F99" s="8" t="str">
        <x:f t="shared" si="3">IF(AND(D99&gt;0,E99&lt;&gt;""),E99/D99/12,"")</x:f>
      </x:c>
      <x:c r="G99" s="8"/>
      <x:c r="H99" s="8"/>
      <x:c r="I99" s="8">
        <x:v>0</x:v>
      </x:c>
      <x:c r="J99" s="9" t="n">
        <x:f t="shared" si="2">IF($I$141&gt;0,I99/$I$141*100,"")</x:f>
        <x:v>0</x:v>
      </x:c>
    </x:row>
    <x:row r="100">
      <x:c r="A100" s="6" t="s">
        <x:v>201</x:v>
      </x:c>
      <x:c r="B100" s="7" t="s">
        <x:v>202</x:v>
      </x:c>
      <x:c r="C100" s="8">
        <x:v>1</x:v>
      </x:c>
      <x:c r="D100" s="8">
        <x:v>1</x:v>
      </x:c>
      <x:c r="E100" s="8"/>
      <x:c r="F100" s="8" t="str">
        <x:f t="shared" si="3">IF(AND(D100&gt;0,E100&lt;&gt;""),E100/D100/12,"")</x:f>
      </x:c>
      <x:c r="G100" s="8"/>
      <x:c r="H100" s="8"/>
      <x:c r="I100" s="8">
        <x:v>0</x:v>
      </x:c>
      <x:c r="J100" s="9" t="n">
        <x:f t="shared" si="2">IF($I$141&gt;0,I100/$I$141*100,"")</x:f>
        <x:v>0</x:v>
      </x:c>
    </x:row>
    <x:row r="101">
      <x:c r="A101" s="6" t="s">
        <x:v>203</x:v>
      </x:c>
      <x:c r="B101" s="7" t="s">
        <x:v>204</x:v>
      </x:c>
      <x:c r="C101" s="8">
        <x:v>1</x:v>
      </x:c>
      <x:c r="D101" s="8">
        <x:v>10.5</x:v>
      </x:c>
      <x:c r="E101" s="8">
        <x:v>76450805</x:v>
      </x:c>
      <x:c r="F101" s="8" t="n">
        <x:f t="shared" si="3">IF(AND(D101&gt;0,E101&lt;&gt;""),E101/D101/12,"")</x:f>
        <x:v>606752.4206349206</x:v>
      </x:c>
      <x:c r="G101" s="8">
        <x:v>6252477</x:v>
      </x:c>
      <x:c r="H101" s="8">
        <x:v>4783150</x:v>
      </x:c>
      <x:c r="I101" s="8">
        <x:v>11035627</x:v>
      </x:c>
      <x:c r="J101" s="9" t="n">
        <x:f t="shared" si="2">IF($I$141&gt;0,I101/$I$141*100,"")</x:f>
        <x:v>0.5740691863196731</x:v>
      </x:c>
    </x:row>
    <x:row r="102">
      <x:c r="A102" s="6" t="s">
        <x:v>205</x:v>
      </x:c>
      <x:c r="B102" s="7" t="s">
        <x:v>206</x:v>
      </x:c>
      <x:c r="C102" s="8">
        <x:v>1</x:v>
      </x:c>
      <x:c r="D102" s="8"/>
      <x:c r="E102" s="8"/>
      <x:c r="F102" s="8" t="str">
        <x:f t="shared" si="3">IF(AND(D102&gt;0,E102&lt;&gt;""),E102/D102/12,"")</x:f>
      </x:c>
      <x:c r="G102" s="8"/>
      <x:c r="H102" s="8"/>
      <x:c r="I102" s="8">
        <x:v>0</x:v>
      </x:c>
      <x:c r="J102" s="9" t="n">
        <x:f t="shared" si="2">IF($I$141&gt;0,I102/$I$141*100,"")</x:f>
        <x:v>0</x:v>
      </x:c>
    </x:row>
    <x:row r="103">
      <x:c r="A103" s="6" t="s">
        <x:v>207</x:v>
      </x:c>
      <x:c r="B103" s="7" t="s">
        <x:v>208</x:v>
      </x:c>
      <x:c r="C103" s="8">
        <x:v>2</x:v>
      </x:c>
      <x:c r="D103" s="8">
        <x:v>4</x:v>
      </x:c>
      <x:c r="E103" s="8">
        <x:v>9362888</x:v>
      </x:c>
      <x:c r="F103" s="8" t="n">
        <x:f t="shared" si="3">IF(AND(D103&gt;0,E103&lt;&gt;""),E103/D103/12,"")</x:f>
        <x:v>195060.16666666666</x:v>
      </x:c>
      <x:c r="G103" s="8">
        <x:v>479454</x:v>
      </x:c>
      <x:c r="H103" s="8">
        <x:v>487799</x:v>
      </x:c>
      <x:c r="I103" s="8">
        <x:v>967253</x:v>
      </x:c>
      <x:c r="J103" s="9" t="n">
        <x:f t="shared" si="2">IF($I$141&gt;0,I103/$I$141*100,"")</x:f>
        <x:v>0.05031613905356376</x:v>
      </x:c>
    </x:row>
    <x:row r="104">
      <x:c r="A104" s="6" t="s">
        <x:v>209</x:v>
      </x:c>
      <x:c r="B104" s="7" t="s">
        <x:v>210</x:v>
      </x:c>
      <x:c r="C104" s="8">
        <x:v>1</x:v>
      </x:c>
      <x:c r="D104" s="8">
        <x:v>1</x:v>
      </x:c>
      <x:c r="E104" s="8"/>
      <x:c r="F104" s="8" t="str">
        <x:f t="shared" si="3">IF(AND(D104&gt;0,E104&lt;&gt;""),E104/D104/12,"")</x:f>
      </x:c>
      <x:c r="G104" s="8"/>
      <x:c r="H104" s="8"/>
      <x:c r="I104" s="8">
        <x:v>0</x:v>
      </x:c>
      <x:c r="J104" s="9" t="n">
        <x:f t="shared" si="2">IF($I$141&gt;0,I104/$I$141*100,"")</x:f>
        <x:v>0</x:v>
      </x:c>
    </x:row>
    <x:row r="105">
      <x:c r="A105" s="6" t="s">
        <x:v>211</x:v>
      </x:c>
      <x:c r="B105" s="7" t="s">
        <x:v>212</x:v>
      </x:c>
      <x:c r="C105" s="8">
        <x:v>1</x:v>
      </x:c>
      <x:c r="D105" s="8"/>
      <x:c r="E105" s="8"/>
      <x:c r="F105" s="8" t="str">
        <x:f t="shared" si="3">IF(AND(D105&gt;0,E105&lt;&gt;""),E105/D105/12,"")</x:f>
      </x:c>
      <x:c r="G105" s="8"/>
      <x:c r="H105" s="8"/>
      <x:c r="I105" s="8">
        <x:v>0</x:v>
      </x:c>
      <x:c r="J105" s="9" t="n">
        <x:f t="shared" si="2">IF($I$141&gt;0,I105/$I$141*100,"")</x:f>
        <x:v>0</x:v>
      </x:c>
    </x:row>
    <x:row r="106">
      <x:c r="A106" s="6" t="s">
        <x:v>213</x:v>
      </x:c>
      <x:c r="B106" s="7" t="s">
        <x:v>214</x:v>
      </x:c>
      <x:c r="C106" s="8">
        <x:v>1</x:v>
      </x:c>
      <x:c r="D106" s="8"/>
      <x:c r="E106" s="8"/>
      <x:c r="F106" s="8" t="str">
        <x:f t="shared" si="3">IF(AND(D106&gt;0,E106&lt;&gt;""),E106/D106/12,"")</x:f>
      </x:c>
      <x:c r="G106" s="8"/>
      <x:c r="H106" s="8"/>
      <x:c r="I106" s="8">
        <x:v>0</x:v>
      </x:c>
      <x:c r="J106" s="9" t="n">
        <x:f t="shared" si="2">IF($I$141&gt;0,I106/$I$141*100,"")</x:f>
        <x:v>0</x:v>
      </x:c>
    </x:row>
    <x:row r="107">
      <x:c r="A107" s="6" t="s">
        <x:v>215</x:v>
      </x:c>
      <x:c r="B107" s="7" t="s">
        <x:v>216</x:v>
      </x:c>
      <x:c r="C107" s="8">
        <x:v>4</x:v>
      </x:c>
      <x:c r="D107" s="8">
        <x:v>2.916666666666667</x:v>
      </x:c>
      <x:c r="E107" s="8">
        <x:v>3305698</x:v>
      </x:c>
      <x:c r="F107" s="8" t="n">
        <x:f t="shared" si="3">IF(AND(D107&gt;0,E107&lt;&gt;""),E107/D107/12,"")</x:f>
        <x:v>94448.51428571426</x:v>
      </x:c>
      <x:c r="G107" s="8">
        <x:v>126009</x:v>
      </x:c>
      <x:c r="H107" s="8">
        <x:v>71580</x:v>
      </x:c>
      <x:c r="I107" s="8">
        <x:v>197589</x:v>
      </x:c>
      <x:c r="J107" s="9" t="n">
        <x:f t="shared" si="2">IF($I$141&gt;0,I107/$I$141*100,"")</x:f>
        <x:v>0.010278505829865206</x:v>
      </x:c>
    </x:row>
    <x:row r="108">
      <x:c r="A108" s="6" t="s">
        <x:v>217</x:v>
      </x:c>
      <x:c r="B108" s="7" t="s">
        <x:v>218</x:v>
      </x:c>
      <x:c r="C108" s="8">
        <x:v>1</x:v>
      </x:c>
      <x:c r="D108" s="8">
        <x:v>4</x:v>
      </x:c>
      <x:c r="E108" s="8">
        <x:v>13104000</x:v>
      </x:c>
      <x:c r="F108" s="8" t="n">
        <x:f t="shared" si="3">IF(AND(D108&gt;0,E108&lt;&gt;""),E108/D108/12,"")</x:f>
        <x:v>273000</x:v>
      </x:c>
      <x:c r="G108" s="8">
        <x:v>905040</x:v>
      </x:c>
      <x:c r="H108" s="8">
        <x:v>682704</x:v>
      </x:c>
      <x:c r="I108" s="8">
        <x:v>1587744</x:v>
      </x:c>
      <x:c r="J108" s="9" t="n">
        <x:f t="shared" si="2">IF($I$141&gt;0,I108/$I$141*100,"")</x:f>
        <x:v>0.0825938486471084</x:v>
      </x:c>
    </x:row>
    <x:row r="109">
      <x:c r="A109" s="6" t="s">
        <x:v>219</x:v>
      </x:c>
      <x:c r="B109" s="7" t="s">
        <x:v>220</x:v>
      </x:c>
      <x:c r="C109" s="8">
        <x:v>1</x:v>
      </x:c>
      <x:c r="D109" s="8">
        <x:v>4.083333333333333</x:v>
      </x:c>
      <x:c r="E109" s="8">
        <x:v>18327298</x:v>
      </x:c>
      <x:c r="F109" s="8" t="n">
        <x:f t="shared" si="3">IF(AND(D109&gt;0,E109&lt;&gt;""),E109/D109/12,"")</x:f>
        <x:v>374026.4897959184</x:v>
      </x:c>
      <x:c r="G109" s="8">
        <x:v>1701060</x:v>
      </x:c>
      <x:c r="H109" s="8">
        <x:v>971233</x:v>
      </x:c>
      <x:c r="I109" s="8">
        <x:v>2672293</x:v>
      </x:c>
      <x:c r="J109" s="9" t="n">
        <x:f t="shared" si="2">IF($I$141&gt;0,I109/$I$141*100,"")</x:f>
        <x:v>0.13901168172118883</x:v>
      </x:c>
    </x:row>
    <x:row r="110">
      <x:c r="A110" s="6" t="s">
        <x:v>221</x:v>
      </x:c>
      <x:c r="B110" s="7" t="s">
        <x:v>222</x:v>
      </x:c>
      <x:c r="C110" s="8">
        <x:v>1</x:v>
      </x:c>
      <x:c r="D110" s="8">
        <x:v>1</x:v>
      </x:c>
      <x:c r="E110" s="8"/>
      <x:c r="F110" s="8" t="str">
        <x:f t="shared" si="3">IF(AND(D110&gt;0,E110&lt;&gt;""),E110/D110/12,"")</x:f>
      </x:c>
      <x:c r="G110" s="8"/>
      <x:c r="H110" s="8"/>
      <x:c r="I110" s="8">
        <x:v>0</x:v>
      </x:c>
      <x:c r="J110" s="9" t="n">
        <x:f t="shared" si="2">IF($I$141&gt;0,I110/$I$141*100,"")</x:f>
        <x:v>0</x:v>
      </x:c>
    </x:row>
    <x:row r="111">
      <x:c r="A111" s="6" t="s">
        <x:v>223</x:v>
      </x:c>
      <x:c r="B111" s="7" t="s">
        <x:v>224</x:v>
      </x:c>
      <x:c r="C111" s="8">
        <x:v>1</x:v>
      </x:c>
      <x:c r="D111" s="8"/>
      <x:c r="E111" s="8"/>
      <x:c r="F111" s="8" t="str">
        <x:f t="shared" si="3">IF(AND(D111&gt;0,E111&lt;&gt;""),E111/D111/12,"")</x:f>
      </x:c>
      <x:c r="G111" s="8"/>
      <x:c r="H111" s="8"/>
      <x:c r="I111" s="8">
        <x:v>0</x:v>
      </x:c>
      <x:c r="J111" s="9" t="n">
        <x:f t="shared" si="2">IF($I$141&gt;0,I111/$I$141*100,"")</x:f>
        <x:v>0</x:v>
      </x:c>
    </x:row>
    <x:row r="112">
      <x:c r="A112" s="6" t="s">
        <x:v>225</x:v>
      </x:c>
      <x:c r="B112" s="7" t="s">
        <x:v>226</x:v>
      </x:c>
      <x:c r="C112" s="8">
        <x:v>1</x:v>
      </x:c>
      <x:c r="D112" s="8"/>
      <x:c r="E112" s="8"/>
      <x:c r="F112" s="8" t="str">
        <x:f t="shared" si="3">IF(AND(D112&gt;0,E112&lt;&gt;""),E112/D112/12,"")</x:f>
      </x:c>
      <x:c r="G112" s="8"/>
      <x:c r="H112" s="8"/>
      <x:c r="I112" s="8">
        <x:v>0</x:v>
      </x:c>
      <x:c r="J112" s="9" t="n">
        <x:f t="shared" si="2">IF($I$141&gt;0,I112/$I$141*100,"")</x:f>
        <x:v>0</x:v>
      </x:c>
    </x:row>
    <x:row r="113">
      <x:c r="A113" s="6" t="s">
        <x:v>227</x:v>
      </x:c>
      <x:c r="B113" s="7" t="s">
        <x:v>228</x:v>
      </x:c>
      <x:c r="C113" s="8">
        <x:v>1</x:v>
      </x:c>
      <x:c r="D113" s="8">
        <x:v>23.25</x:v>
      </x:c>
      <x:c r="E113" s="8">
        <x:v>84983834</x:v>
      </x:c>
      <x:c r="F113" s="8" t="n">
        <x:f t="shared" si="3">IF(AND(D113&gt;0,E113&lt;&gt;""),E113/D113/12,"")</x:f>
        <x:v>304601.55555555556</x:v>
      </x:c>
      <x:c r="G113" s="8">
        <x:v>4693635</x:v>
      </x:c>
      <x:c r="H113" s="8">
        <x:v>3972530</x:v>
      </x:c>
      <x:c r="I113" s="8">
        <x:v>8666165</x:v>
      </x:c>
      <x:c r="J113" s="9" t="n">
        <x:f t="shared" si="2">IF($I$141&gt;0,I113/$I$141*100,"")</x:f>
        <x:v>0.4508106598802251</x:v>
      </x:c>
    </x:row>
    <x:row r="114">
      <x:c r="A114" s="6" t="s">
        <x:v>229</x:v>
      </x:c>
      <x:c r="B114" s="7" t="s">
        <x:v>230</x:v>
      </x:c>
      <x:c r="C114" s="8">
        <x:v>1</x:v>
      </x:c>
      <x:c r="D114" s="8">
        <x:v>1.1666666666666667</x:v>
      </x:c>
      <x:c r="E114" s="8">
        <x:v>1435304</x:v>
      </x:c>
      <x:c r="F114" s="8" t="n">
        <x:f t="shared" si="3">IF(AND(D114&gt;0,E114&lt;&gt;""),E114/D114/12,"")</x:f>
        <x:v>102521.71428571428</x:v>
      </x:c>
      <x:c r="G114" s="8">
        <x:v>52255</x:v>
      </x:c>
      <x:c r="H114" s="8">
        <x:v>71506</x:v>
      </x:c>
      <x:c r="I114" s="8">
        <x:v>123761</x:v>
      </x:c>
      <x:c r="J114" s="9" t="n">
        <x:f t="shared" si="2">IF($I$141&gt;0,I114/$I$141*100,"")</x:f>
        <x:v>0.006438000900910212</x:v>
      </x:c>
    </x:row>
    <x:row r="115">
      <x:c r="A115" s="6" t="s">
        <x:v>231</x:v>
      </x:c>
      <x:c r="B115" s="7" t="s">
        <x:v>232</x:v>
      </x:c>
      <x:c r="C115" s="8">
        <x:v>1</x:v>
      </x:c>
      <x:c r="D115" s="8">
        <x:v>2.3333333333333335</x:v>
      </x:c>
      <x:c r="E115" s="8">
        <x:v>3821667</x:v>
      </x:c>
      <x:c r="F115" s="8" t="n">
        <x:f t="shared" si="3">IF(AND(D115&gt;0,E115&lt;&gt;""),E115/D115/12,"")</x:f>
        <x:v>136488.10714285713</x:v>
      </x:c>
      <x:c r="G115" s="8">
        <x:v>181797</x:v>
      </x:c>
      <x:c r="H115" s="8">
        <x:v>196857</x:v>
      </x:c>
      <x:c r="I115" s="8">
        <x:v>378654</x:v>
      </x:c>
      <x:c r="J115" s="9" t="n">
        <x:f t="shared" si="2">IF($I$141&gt;0,I115/$I$141*100,"")</x:f>
        <x:v>0.019697439364042432</x:v>
      </x:c>
    </x:row>
    <x:row r="116">
      <x:c r="A116" s="6">
        <x:v>77391</x:v>
      </x:c>
      <x:c r="B116" s="7" t="s">
        <x:v>233</x:v>
      </x:c>
      <x:c r="C116" s="8">
        <x:v>1</x:v>
      </x:c>
      <x:c r="D116" s="8">
        <x:v>1.0833333333333333</x:v>
      </x:c>
      <x:c r="E116" s="8">
        <x:v>1224470</x:v>
      </x:c>
      <x:c r="F116" s="8" t="n">
        <x:f t="shared" si="3">IF(AND(D116&gt;0,E116&lt;&gt;""),E116/D116/12,"")</x:f>
        <x:v>94190</x:v>
      </x:c>
      <x:c r="G116" s="8">
        <x:v>40924</x:v>
      </x:c>
      <x:c r="H116" s="8">
        <x:v>51911</x:v>
      </x:c>
      <x:c r="I116" s="8">
        <x:v>92835</x:v>
      </x:c>
      <x:c r="J116" s="9" t="n">
        <x:f t="shared" si="2">IF($I$141&gt;0,I116/$I$141*100,"")</x:f>
        <x:v>0.004829241955349419</x:v>
      </x:c>
    </x:row>
    <x:row r="117">
      <x:c r="A117" s="6" t="s">
        <x:v>234</x:v>
      </x:c>
      <x:c r="B117" s="7" t="s">
        <x:v>235</x:v>
      </x:c>
      <x:c r="C117" s="8">
        <x:v>3</x:v>
      </x:c>
      <x:c r="D117" s="8">
        <x:v>13.916666666666666</x:v>
      </x:c>
      <x:c r="E117" s="8">
        <x:v>13942421</x:v>
      </x:c>
      <x:c r="F117" s="8" t="n">
        <x:f t="shared" si="3">IF(AND(D117&gt;0,E117&lt;&gt;""),E117/D117/12,"")</x:f>
        <x:v>83487.5508982036</x:v>
      </x:c>
      <x:c r="G117" s="8">
        <x:v>249688</x:v>
      </x:c>
      <x:c r="H117" s="8">
        <x:v>1050406</x:v>
      </x:c>
      <x:c r="I117" s="8">
        <x:v>1300094</x:v>
      </x:c>
      <x:c r="J117" s="9" t="n">
        <x:f t="shared" si="2">IF($I$141&gt;0,I117/$I$141*100,"")</x:f>
        <x:v>0.06763040330368986</x:v>
      </x:c>
    </x:row>
    <x:row r="118">
      <x:c r="A118" s="6" t="s">
        <x:v>236</x:v>
      </x:c>
      <x:c r="B118" s="7" t="s">
        <x:v>237</x:v>
      </x:c>
      <x:c r="C118" s="8">
        <x:v>1</x:v>
      </x:c>
      <x:c r="D118" s="8">
        <x:v>6</x:v>
      </x:c>
      <x:c r="E118" s="8">
        <x:v>6521575</x:v>
      </x:c>
      <x:c r="F118" s="8" t="n">
        <x:f t="shared" si="3">IF(AND(D118&gt;0,E118&lt;&gt;""),E118/D118/12,"")</x:f>
        <x:v>90577.43055555556</x:v>
      </x:c>
      <x:c r="G118" s="8">
        <x:v>43003</x:v>
      </x:c>
      <x:c r="H118" s="8">
        <x:v>374189</x:v>
      </x:c>
      <x:c r="I118" s="8">
        <x:v>417192</x:v>
      </x:c>
      <x:c r="J118" s="9" t="n">
        <x:f t="shared" si="2">IF($I$141&gt;0,I118/$I$141*100,"")</x:f>
        <x:v>0.021702171700717778</x:v>
      </x:c>
    </x:row>
    <x:row r="119">
      <x:c r="A119" s="6" t="s">
        <x:v>238</x:v>
      </x:c>
      <x:c r="B119" s="7" t="s">
        <x:v>239</x:v>
      </x:c>
      <x:c r="C119" s="8">
        <x:v>6</x:v>
      </x:c>
      <x:c r="D119" s="8">
        <x:v>75.916666666666671</x:v>
      </x:c>
      <x:c r="E119" s="8">
        <x:v>252078431</x:v>
      </x:c>
      <x:c r="F119" s="8" t="n">
        <x:f t="shared" si="3">IF(AND(D119&gt;0,E119&lt;&gt;""),E119/D119/12,"")</x:f>
        <x:v>276705.19319429196</x:v>
      </x:c>
      <x:c r="G119" s="8">
        <x:v>19015076</x:v>
      </x:c>
      <x:c r="H119" s="8">
        <x:v>14493647</x:v>
      </x:c>
      <x:c r="I119" s="8">
        <x:v>33508723</x:v>
      </x:c>
      <x:c r="J119" s="9" t="n">
        <x:f t="shared" si="2">IF($I$141&gt;0,I119/$I$141*100,"")</x:f>
        <x:v>1.7431112294046647</x:v>
      </x:c>
    </x:row>
    <x:row r="120">
      <x:c r="A120" s="6" t="s">
        <x:v>240</x:v>
      </x:c>
      <x:c r="B120" s="7" t="s">
        <x:v>241</x:v>
      </x:c>
      <x:c r="C120" s="8">
        <x:v>1</x:v>
      </x:c>
      <x:c r="D120" s="8">
        <x:v>3.5555555555555554</x:v>
      </x:c>
      <x:c r="E120" s="8">
        <x:v>11868040</x:v>
      </x:c>
      <x:c r="F120" s="8" t="n">
        <x:f t="shared" si="3">IF(AND(D120&gt;0,E120&lt;&gt;""),E120/D120/12,"")</x:f>
        <x:v>278157.1875</x:v>
      </x:c>
      <x:c r="G120" s="8">
        <x:v>925250</x:v>
      </x:c>
      <x:c r="H120" s="8">
        <x:v>698124</x:v>
      </x:c>
      <x:c r="I120" s="8">
        <x:v>1623374</x:v>
      </x:c>
      <x:c r="J120" s="9" t="n">
        <x:f t="shared" si="2">IF($I$141&gt;0,I120/$I$141*100,"")</x:f>
        <x:v>0.08444730791213882</x:v>
      </x:c>
    </x:row>
    <x:row r="121">
      <x:c r="A121" s="6" t="s">
        <x:v>242</x:v>
      </x:c>
      <x:c r="B121" s="7" t="s">
        <x:v>243</x:v>
      </x:c>
      <x:c r="C121" s="8">
        <x:v>3</x:v>
      </x:c>
      <x:c r="D121" s="8">
        <x:v>82</x:v>
      </x:c>
      <x:c r="E121" s="8">
        <x:v>257074842</x:v>
      </x:c>
      <x:c r="F121" s="8" t="n">
        <x:f t="shared" si="3">IF(AND(D121&gt;0,E121&lt;&gt;""),E121/D121/12,"")</x:f>
        <x:v>261254.92073170733</x:v>
      </x:c>
      <x:c r="G121" s="8">
        <x:v>16123504</x:v>
      </x:c>
      <x:c r="H121" s="8">
        <x:v>12704080</x:v>
      </x:c>
      <x:c r="I121" s="8">
        <x:v>28827584</x:v>
      </x:c>
      <x:c r="J121" s="9" t="n">
        <x:f t="shared" si="2">IF($I$141&gt;0,I121/$I$141*100,"")</x:f>
        <x:v>1.4996001305990159</x:v>
      </x:c>
    </x:row>
    <x:row r="122">
      <x:c r="A122" s="6" t="s">
        <x:v>244</x:v>
      </x:c>
      <x:c r="B122" s="7" t="s">
        <x:v>245</x:v>
      </x:c>
      <x:c r="C122" s="8">
        <x:v>13</x:v>
      </x:c>
      <x:c r="D122" s="8">
        <x:v>160.41666666666666</x:v>
      </x:c>
      <x:c r="E122" s="8">
        <x:v>396832744</x:v>
      </x:c>
      <x:c r="F122" s="8" t="n">
        <x:f t="shared" si="3">IF(AND(D122&gt;0,E122&lt;&gt;""),E122/D122/12,"")</x:f>
        <x:v>206146.88</x:v>
      </x:c>
      <x:c r="G122" s="8">
        <x:v>24881824</x:v>
      </x:c>
      <x:c r="H122" s="8">
        <x:v>18098072</x:v>
      </x:c>
      <x:c r="I122" s="8">
        <x:v>42979896</x:v>
      </x:c>
      <x:c r="J122" s="9" t="n">
        <x:f t="shared" si="2">IF($I$141&gt;0,I122/$I$141*100,"")</x:f>
        <x:v>2.235798104160658</x:v>
      </x:c>
    </x:row>
    <x:row r="123">
      <x:c r="A123" s="6" t="s">
        <x:v>246</x:v>
      </x:c>
      <x:c r="B123" s="7" t="s">
        <x:v>247</x:v>
      </x:c>
      <x:c r="C123" s="8">
        <x:v>6</x:v>
      </x:c>
      <x:c r="D123" s="8">
        <x:v>69.333333333333343</x:v>
      </x:c>
      <x:c r="E123" s="8">
        <x:v>211081611</x:v>
      </x:c>
      <x:c r="F123" s="8" t="n">
        <x:f t="shared" si="3">IF(AND(D123&gt;0,E123&lt;&gt;""),E123/D123/12,"")</x:f>
        <x:v>253703.85937499997</x:v>
      </x:c>
      <x:c r="G123" s="8">
        <x:v>14162851</x:v>
      </x:c>
      <x:c r="H123" s="8">
        <x:v>9170873</x:v>
      </x:c>
      <x:c r="I123" s="8">
        <x:v>23333724</x:v>
      </x:c>
      <x:c r="J123" s="9" t="n">
        <x:f t="shared" si="2">IF($I$141&gt;0,I123/$I$141*100,"")</x:f>
        <x:v>1.2138115895442847</x:v>
      </x:c>
    </x:row>
    <x:row r="124">
      <x:c r="A124" s="6" t="s">
        <x:v>248</x:v>
      </x:c>
      <x:c r="B124" s="7" t="s">
        <x:v>249</x:v>
      </x:c>
      <x:c r="C124" s="8">
        <x:v>2</x:v>
      </x:c>
      <x:c r="D124" s="8">
        <x:v>19.666666666666664</x:v>
      </x:c>
      <x:c r="E124" s="8">
        <x:v>78725733</x:v>
      </x:c>
      <x:c r="F124" s="8" t="n">
        <x:f t="shared" si="3">IF(AND(D124&gt;0,E124&lt;&gt;""),E124/D124/12,"")</x:f>
        <x:v>333583.6144067797</x:v>
      </x:c>
      <x:c r="G124" s="8">
        <x:v>5140647</x:v>
      </x:c>
      <x:c r="H124" s="8">
        <x:v>3431176</x:v>
      </x:c>
      <x:c r="I124" s="8">
        <x:v>8571823</x:v>
      </x:c>
      <x:c r="J124" s="9" t="n">
        <x:f t="shared" si="2">IF($I$141&gt;0,I124/$I$141*100,"")</x:f>
        <x:v>0.4459030243488892</x:v>
      </x:c>
    </x:row>
    <x:row r="125">
      <x:c r="A125" s="6" t="s">
        <x:v>250</x:v>
      </x:c>
      <x:c r="B125" s="7" t="s">
        <x:v>251</x:v>
      </x:c>
      <x:c r="C125" s="8">
        <x:v>2</x:v>
      </x:c>
      <x:c r="D125" s="8">
        <x:v>453.58333333333331</x:v>
      </x:c>
      <x:c r="E125" s="8">
        <x:v>578641945</x:v>
      </x:c>
      <x:c r="F125" s="8" t="n">
        <x:f t="shared" si="3">IF(AND(D125&gt;0,E125&lt;&gt;""),E125/D125/12,"")</x:f>
        <x:v>106309.37810031233</x:v>
      </x:c>
      <x:c r="G125" s="8">
        <x:v>8322161</x:v>
      </x:c>
      <x:c r="H125" s="8">
        <x:v>16819689</x:v>
      </x:c>
      <x:c r="I125" s="8">
        <x:v>25141850</x:v>
      </x:c>
      <x:c r="J125" s="9" t="n">
        <x:f t="shared" si="2">IF($I$141&gt;0,I125/$I$141*100,"")</x:f>
        <x:v>1.3078696273506951</x:v>
      </x:c>
    </x:row>
    <x:row r="126">
      <x:c r="A126" s="6" t="s">
        <x:v>252</x:v>
      </x:c>
      <x:c r="B126" s="7" t="s">
        <x:v>253</x:v>
      </x:c>
      <x:c r="C126" s="8">
        <x:v>21</x:v>
      </x:c>
      <x:c r="D126" s="8">
        <x:v>425.08333333333331</x:v>
      </x:c>
      <x:c r="E126" s="8">
        <x:v>797109804</x:v>
      </x:c>
      <x:c r="F126" s="8" t="n">
        <x:f t="shared" si="3">IF(AND(D126&gt;0,E126&lt;&gt;""),E126/D126/12,"")</x:f>
        <x:v>156265.399725544</x:v>
      </x:c>
      <x:c r="G126" s="8">
        <x:v>44613173</x:v>
      </x:c>
      <x:c r="H126" s="8">
        <x:v>39287556</x:v>
      </x:c>
      <x:c r="I126" s="8">
        <x:v>83900729</x:v>
      </x:c>
      <x:c r="J126" s="9" t="n">
        <x:f t="shared" si="2">IF($I$141&gt;0,I126/$I$141*100,"")</x:f>
        <x:v>4.364484521691192</x:v>
      </x:c>
    </x:row>
    <x:row r="127">
      <x:c r="A127" s="6" t="s">
        <x:v>254</x:v>
      </x:c>
      <x:c r="B127" s="7" t="s">
        <x:v>255</x:v>
      </x:c>
      <x:c r="C127" s="8">
        <x:v>2</x:v>
      </x:c>
      <x:c r="D127" s="8">
        <x:v>26.75</x:v>
      </x:c>
      <x:c r="E127" s="8">
        <x:v>69655912</x:v>
      </x:c>
      <x:c r="F127" s="8" t="n">
        <x:f t="shared" si="3">IF(AND(D127&gt;0,E127&lt;&gt;""),E127/D127/12,"")</x:f>
        <x:v>216996.6105919003</x:v>
      </x:c>
      <x:c r="G127" s="8">
        <x:v>1449222</x:v>
      </x:c>
      <x:c r="H127" s="8">
        <x:v>1206205</x:v>
      </x:c>
      <x:c r="I127" s="8">
        <x:v>2655427</x:v>
      </x:c>
      <x:c r="J127" s="9" t="n">
        <x:f t="shared" si="2">IF($I$141&gt;0,I127/$I$141*100,"")</x:f>
        <x:v>0.1381343187134986</x:v>
      </x:c>
    </x:row>
    <x:row r="128">
      <x:c r="A128" s="6" t="s">
        <x:v>256</x:v>
      </x:c>
      <x:c r="B128" s="7" t="s">
        <x:v>257</x:v>
      </x:c>
      <x:c r="C128" s="8">
        <x:v>27</x:v>
      </x:c>
      <x:c r="D128" s="8">
        <x:v>1289.5</x:v>
      </x:c>
      <x:c r="E128" s="8">
        <x:v>5156437380</x:v>
      </x:c>
      <x:c r="F128" s="8" t="n">
        <x:f t="shared" si="3">IF(AND(D128&gt;0,E128&lt;&gt;""),E128/D128/12,"")</x:f>
        <x:v>333232.34974796436</x:v>
      </x:c>
      <x:c r="G128" s="8">
        <x:v>345094896</x:v>
      </x:c>
      <x:c r="H128" s="8">
        <x:v>247756092</x:v>
      </x:c>
      <x:c r="I128" s="8">
        <x:v>592850988</x:v>
      </x:c>
      <x:c r="J128" s="9" t="n">
        <x:f t="shared" si="2">IF($I$141&gt;0,I128/$I$141*100,"")</x:f>
        <x:v>30.839886513922067</x:v>
      </x:c>
    </x:row>
    <x:row r="129">
      <x:c r="A129" s="6" t="s">
        <x:v>258</x:v>
      </x:c>
      <x:c r="B129" s="7" t="s">
        <x:v>259</x:v>
      </x:c>
      <x:c r="C129" s="8">
        <x:v>1</x:v>
      </x:c>
      <x:c r="D129" s="8">
        <x:v>66.833333333333329</x:v>
      </x:c>
      <x:c r="E129" s="8">
        <x:v>215672259</x:v>
      </x:c>
      <x:c r="F129" s="8" t="n">
        <x:f t="shared" si="3">IF(AND(D129&gt;0,E129&lt;&gt;""),E129/D129/12,"")</x:f>
        <x:v>268918.0286783042</x:v>
      </x:c>
      <x:c r="G129" s="8">
        <x:v>14220255</x:v>
      </x:c>
      <x:c r="H129" s="8">
        <x:v>12310617</x:v>
      </x:c>
      <x:c r="I129" s="8">
        <x:v>26530872</x:v>
      </x:c>
      <x:c r="J129" s="9" t="n">
        <x:f t="shared" si="2">IF($I$141&gt;0,I129/$I$141*100,"")</x:f>
        <x:v>1.380126031931978</x:v>
      </x:c>
    </x:row>
    <x:row r="130">
      <x:c r="A130" s="6" t="s">
        <x:v>260</x:v>
      </x:c>
      <x:c r="B130" s="7" t="s">
        <x:v>261</x:v>
      </x:c>
      <x:c r="C130" s="8">
        <x:v>1</x:v>
      </x:c>
      <x:c r="D130" s="8">
        <x:v>50.333333333333336</x:v>
      </x:c>
      <x:c r="E130" s="8">
        <x:v>117114229</x:v>
      </x:c>
      <x:c r="F130" s="8" t="n">
        <x:f t="shared" si="3">IF(AND(D130&gt;0,E130&lt;&gt;""),E130/D130/12,"")</x:f>
        <x:v>193897.73013245032</x:v>
      </x:c>
      <x:c r="G130" s="8">
        <x:v>6812854</x:v>
      </x:c>
      <x:c r="H130" s="8">
        <x:v>5422724</x:v>
      </x:c>
      <x:c r="I130" s="8">
        <x:v>12235578</x:v>
      </x:c>
      <x:c r="J130" s="9" t="n">
        <x:f t="shared" si="2">IF($I$141&gt;0,I130/$I$141*100,"")</x:f>
        <x:v>0.6364901882431231</x:v>
      </x:c>
    </x:row>
    <x:row r="131">
      <x:c r="A131" s="6" t="s">
        <x:v>262</x:v>
      </x:c>
      <x:c r="B131" s="7" t="s">
        <x:v>263</x:v>
      </x:c>
      <x:c r="C131" s="8">
        <x:v>3</x:v>
      </x:c>
      <x:c r="D131" s="8">
        <x:v>39.833333333333329</x:v>
      </x:c>
      <x:c r="E131" s="8">
        <x:v>119409500</x:v>
      </x:c>
      <x:c r="F131" s="8" t="n">
        <x:f t="shared" si="3">IF(AND(D131&gt;0,E131&lt;&gt;""),E131/D131/12,"")</x:f>
        <x:v>249810.669456067</x:v>
      </x:c>
      <x:c r="G131" s="8">
        <x:v>7830445</x:v>
      </x:c>
      <x:c r="H131" s="8">
        <x:v>6909526</x:v>
      </x:c>
      <x:c r="I131" s="8">
        <x:v>14739971</x:v>
      </x:c>
      <x:c r="J131" s="9" t="n">
        <x:f t="shared" si="2">IF($I$141&gt;0,I131/$I$141*100,"")</x:f>
        <x:v>0.7667677748029702</x:v>
      </x:c>
    </x:row>
    <x:row r="132">
      <x:c r="A132" s="6" t="s">
        <x:v>264</x:v>
      </x:c>
      <x:c r="B132" s="7" t="s">
        <x:v>265</x:v>
      </x:c>
      <x:c r="C132" s="8">
        <x:v>1</x:v>
      </x:c>
      <x:c r="D132" s="8">
        <x:v>2.3333333333333335</x:v>
      </x:c>
      <x:c r="E132" s="8">
        <x:v>2893920</x:v>
      </x:c>
      <x:c r="F132" s="8" t="n">
        <x:f t="shared" si="3">IF(AND(D132&gt;0,E132&lt;&gt;""),E132/D132/12,"")</x:f>
        <x:v>103354.2857142857</x:v>
      </x:c>
      <x:c r="G132" s="8">
        <x:v>140282</x:v>
      </x:c>
      <x:c r="H132" s="8">
        <x:v>192358</x:v>
      </x:c>
      <x:c r="I132" s="8">
        <x:v>332640</x:v>
      </x:c>
      <x:c r="J132" s="9" t="n">
        <x:f t="shared" si="2">IF($I$141&gt;0,I132/$I$141*100,"")</x:f>
        <x:v>0.017303808305352837</x:v>
      </x:c>
    </x:row>
    <x:row r="133">
      <x:c r="A133" s="6" t="s">
        <x:v>266</x:v>
      </x:c>
      <x:c r="B133" s="7" t="s">
        <x:v>267</x:v>
      </x:c>
      <x:c r="C133" s="8">
        <x:v>1</x:v>
      </x:c>
      <x:c r="D133" s="8">
        <x:v>5.25</x:v>
      </x:c>
      <x:c r="E133" s="8">
        <x:v>31371168</x:v>
      </x:c>
      <x:c r="F133" s="8" t="n">
        <x:f t="shared" si="3">IF(AND(D133&gt;0,E133&lt;&gt;""),E133/D133/12,"")</x:f>
        <x:v>497955.04761904763</x:v>
      </x:c>
      <x:c r="G133" s="8">
        <x:v>579891</x:v>
      </x:c>
      <x:c r="H133" s="8">
        <x:v>1602345</x:v>
      </x:c>
      <x:c r="I133" s="8">
        <x:v>2182236</x:v>
      </x:c>
      <x:c r="J133" s="9" t="n">
        <x:f t="shared" ref="J133:J140" si="4">IF($I$141&gt;0,I133/$I$141*100,"")</x:f>
        <x:v>0.11351909999110137</x:v>
      </x:c>
    </x:row>
    <x:row r="134">
      <x:c r="A134" s="6" t="s">
        <x:v>268</x:v>
      </x:c>
      <x:c r="B134" s="7" t="s">
        <x:v>269</x:v>
      </x:c>
      <x:c r="C134" s="8">
        <x:v>5</x:v>
      </x:c>
      <x:c r="D134" s="8">
        <x:v>44.722222222222221</x:v>
      </x:c>
      <x:c r="E134" s="8">
        <x:v>84126195</x:v>
      </x:c>
      <x:c r="F134" s="8" t="n">
        <x:f t="shared" ref="F134:F140" si="5">IF(AND(D134&gt;0,E134&lt;&gt;""),E134/D134/12,"")</x:f>
        <x:v>156756.8850931677</x:v>
      </x:c>
      <x:c r="G134" s="8">
        <x:v>4839608</x:v>
      </x:c>
      <x:c r="H134" s="8">
        <x:v>4278024</x:v>
      </x:c>
      <x:c r="I134" s="8">
        <x:v>9117632</x:v>
      </x:c>
      <x:c r="J134" s="9" t="n">
        <x:f t="shared" si="4">IF($I$141&gt;0,I134/$I$141*100,"")</x:f>
        <x:v>0.4742958042530989</x:v>
      </x:c>
    </x:row>
    <x:row r="135">
      <x:c r="A135" s="6" t="s">
        <x:v>270</x:v>
      </x:c>
      <x:c r="B135" s="7" t="s">
        <x:v>271</x:v>
      </x:c>
      <x:c r="C135" s="8">
        <x:v>1</x:v>
      </x:c>
      <x:c r="D135" s="8">
        <x:v>630.77777777777783</x:v>
      </x:c>
      <x:c r="E135" s="8">
        <x:v>674692841</x:v>
      </x:c>
      <x:c r="F135" s="8" t="n">
        <x:f t="shared" si="5">IF(AND(D135&gt;0,E135&lt;&gt;""),E135/D135/12,"")</x:f>
        <x:v>89135.04152721506</x:v>
      </x:c>
      <x:c r="G135" s="8">
        <x:v>48671327</x:v>
      </x:c>
      <x:c r="H135" s="8">
        <x:v>38906889</x:v>
      </x:c>
      <x:c r="I135" s="8">
        <x:v>87578216</x:v>
      </x:c>
      <x:c r="J135" s="9" t="n">
        <x:f t="shared" si="4">IF($I$141&gt;0,I135/$I$141*100,"")</x:f>
        <x:v>4.555786019086053</x:v>
      </x:c>
    </x:row>
    <x:row r="136">
      <x:c r="A136" s="6" t="s">
        <x:v>272</x:v>
      </x:c>
      <x:c r="B136" s="7" t="s">
        <x:v>273</x:v>
      </x:c>
      <x:c r="C136" s="8">
        <x:v>1</x:v>
      </x:c>
      <x:c r="D136" s="8">
        <x:v>7</x:v>
      </x:c>
      <x:c r="E136" s="8">
        <x:v>5355000</x:v>
      </x:c>
      <x:c r="F136" s="8" t="n">
        <x:f t="shared" si="5">IF(AND(D136&gt;0,E136&lt;&gt;""),E136/D136/12,"")</x:f>
        <x:v>63750</x:v>
      </x:c>
      <x:c r="G136" s="8">
        <x:v>14553</x:v>
      </x:c>
      <x:c r="H136" s="8">
        <x:v>260253</x:v>
      </x:c>
      <x:c r="I136" s="8">
        <x:v>274806</x:v>
      </x:c>
      <x:c r="J136" s="9" t="n">
        <x:f t="shared" si="4">IF($I$141&gt;0,I136/$I$141*100,"")</x:f>
        <x:v>0.0142953052704449</x:v>
      </x:c>
    </x:row>
    <x:row r="137">
      <x:c r="A137" s="6" t="s">
        <x:v>274</x:v>
      </x:c>
      <x:c r="B137" s="7" t="s">
        <x:v>275</x:v>
      </x:c>
      <x:c r="C137" s="8">
        <x:v>1</x:v>
      </x:c>
      <x:c r="D137" s="8">
        <x:v>1</x:v>
      </x:c>
      <x:c r="E137" s="8"/>
      <x:c r="F137" s="8" t="str">
        <x:f t="shared" si="5">IF(AND(D137&gt;0,E137&lt;&gt;""),E137/D137/12,"")</x:f>
      </x:c>
      <x:c r="G137" s="8"/>
      <x:c r="H137" s="8"/>
      <x:c r="I137" s="8">
        <x:v>0</x:v>
      </x:c>
      <x:c r="J137" s="9" t="n">
        <x:f t="shared" si="4">IF($I$141&gt;0,I137/$I$141*100,"")</x:f>
        <x:v>0</x:v>
      </x:c>
    </x:row>
    <x:row r="138">
      <x:c r="A138" s="6" t="s">
        <x:v>276</x:v>
      </x:c>
      <x:c r="B138" s="7" t="s">
        <x:v>277</x:v>
      </x:c>
      <x:c r="C138" s="8">
        <x:v>1</x:v>
      </x:c>
      <x:c r="D138" s="8"/>
      <x:c r="E138" s="8"/>
      <x:c r="F138" s="8" t="str">
        <x:f t="shared" si="5">IF(AND(D138&gt;0,E138&lt;&gt;""),E138/D138/12,"")</x:f>
      </x:c>
      <x:c r="G138" s="8"/>
      <x:c r="H138" s="8"/>
      <x:c r="I138" s="8">
        <x:v>0</x:v>
      </x:c>
      <x:c r="J138" s="9" t="n">
        <x:f t="shared" si="4">IF($I$141&gt;0,I138/$I$141*100,"")</x:f>
        <x:v>0</x:v>
      </x:c>
    </x:row>
    <x:row r="139">
      <x:c r="A139" s="6" t="s">
        <x:v>278</x:v>
      </x:c>
      <x:c r="B139" s="7" t="s">
        <x:v>279</x:v>
      </x:c>
      <x:c r="C139" s="8">
        <x:v>1</x:v>
      </x:c>
      <x:c r="D139" s="8">
        <x:v>39.333333333333336</x:v>
      </x:c>
      <x:c r="E139" s="8">
        <x:v>86390268</x:v>
      </x:c>
      <x:c r="F139" s="8" t="n">
        <x:f t="shared" si="5">IF(AND(D139&gt;0,E139&lt;&gt;""),E139/D139/12,"")</x:f>
        <x:v>183030.2288135593</x:v>
      </x:c>
      <x:c r="G139" s="8">
        <x:v>5183332</x:v>
      </x:c>
      <x:c r="H139" s="8">
        <x:v>2785329</x:v>
      </x:c>
      <x:c r="I139" s="8">
        <x:v>7968661</x:v>
      </x:c>
      <x:c r="J139" s="9" t="n">
        <x:f t="shared" si="4">IF($I$141&gt;0,I139/$I$141*100,"")</x:f>
        <x:v>0.4145267628497513</x:v>
      </x:c>
    </x:row>
    <x:row r="140">
      <x:c r="A140" s="6" t="s">
        <x:v>280</x:v>
      </x:c>
      <x:c r="B140" s="7" t="s">
        <x:v>281</x:v>
      </x:c>
      <x:c r="C140" s="8">
        <x:v>1</x:v>
      </x:c>
      <x:c r="D140" s="8">
        <x:v>6</x:v>
      </x:c>
      <x:c r="E140" s="8">
        <x:v>16544995</x:v>
      </x:c>
      <x:c r="F140" s="8" t="n">
        <x:f t="shared" si="5">IF(AND(D140&gt;0,E140&lt;&gt;""),E140/D140/12,"")</x:f>
        <x:v>229791.59722222222</x:v>
      </x:c>
      <x:c r="G140" s="8">
        <x:v>1103420</x:v>
      </x:c>
      <x:c r="H140" s="8">
        <x:v>1111364</x:v>
      </x:c>
      <x:c r="I140" s="8">
        <x:v>2214784</x:v>
      </x:c>
      <x:c r="J140" s="9" t="n">
        <x:f t="shared" si="4">IF($I$141&gt;0,I140/$I$141*100,"")</x:f>
        <x:v>0.11521223476960853</x:v>
      </x:c>
    </x:row>
    <x:row r="141">
      <x:c r="A141" t="str">
        <x:v>Общий итог</x:v>
      </x:c>
      <x:c r="C141" t="n">
        <x:f>SUM(C4:C140)</x:f>
        <x:v>423</x:v>
      </x:c>
      <x:c r="D141" t="n">
        <x:f>SUM(D4:D140)</x:f>
        <x:v>6496.534812409812</x:v>
      </x:c>
      <x:c r="E141" t="n">
        <x:f>SUM(E4:E140)</x:f>
        <x:v>17166717867</x:v>
      </x:c>
      <x:c r="F141" t="n">
        <x:f>IF(D141&gt;0,E141/D141/12,"")</x:f>
        <x:v>220203.5182690495</x:v>
      </x:c>
      <x:c r="G141" t="n">
        <x:f>SUM(G4:G140)</x:f>
        <x:v>1131569793</x:v>
      </x:c>
      <x:c r="H141" t="n">
        <x:f>SUM(H4:H140)</x:f>
        <x:v>790781600</x:v>
      </x:c>
      <x:c r="I141" t="n">
        <x:f>SUM(I4:I140)</x:f>
        <x:v>1922351393</x:v>
      </x:c>
      <x:c r="J141" t="n">
        <x:f>SUM(J4:J140)</x:f>
        <x:v>100</x:v>
      </x:c>
    </x:row>
  </x:sheetData>
  <x:pageMargins left="0.7" right="0.7" top="0.75" bottom="0.75" header="0.3" footer="0.3"/>
</x:worksheet>
</file>