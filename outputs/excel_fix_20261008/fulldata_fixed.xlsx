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f21af9898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d5fcc394d145496b"/>
  </x:sheets>
</x:workbook>
</file>

<file path=xl/sharedStrings.xml><?xml version="1.0" encoding="utf-8"?>
<x:sst xmlns:x="http://schemas.openxmlformats.org/spreadsheetml/2006/main">
  <x:si>
    <x:t xml:space="preserve">1 квартал</x:t>
  </x:si>
  <x:si>
    <x:t xml:space="preserve">2 квартал</x:t>
  </x:si>
  <x:si>
    <x:t xml:space="preserve">3 квартал</x:t>
  </x:si>
  <x:si>
    <x:t xml:space="preserve">4 квартал</x:t>
  </x:si>
  <x:si>
    <x:t xml:space="preserve">Код ОКЭД</x:t>
  </x:si>
  <x:si>
    <x:t xml:space="preserve">ОКЭД</x:t>
  </x:si>
  <x:si>
    <x:t xml:space="preserve">ИИН/БИН</x:t>
  </x:si>
  <x:si>
    <x:t xml:space="preserve">Код НУ</x:t>
  </x:si>
  <x:si>
    <x:t xml:space="preserve"> empl_1</x:t>
  </x:si>
  <x:si>
    <x:t xml:space="preserve">empl_2</x:t>
  </x:si>
  <x:si>
    <x:t xml:space="preserve"> empl_3</x:t>
  </x:si>
  <x:si>
    <x:t xml:space="preserve">сколько месяцев</x:t>
  </x:si>
  <x:si>
    <x:t xml:space="preserve">Кол-во чел</x:t>
  </x:si>
  <x:si>
    <x:t xml:space="preserve">Ср.числ.</x:t>
  </x:si>
  <x:si>
    <x:t xml:space="preserve">field_200_00_001_4</x:t>
  </x:si>
  <x:si>
    <x:t xml:space="preserve">field_200_00_005_4</x:t>
  </x:si>
  <x:si>
    <x:t xml:space="preserve">ФОТ</x:t>
  </x:si>
  <x:si>
    <x:t xml:space="preserve">Ср.зп</x:t>
  </x:si>
  <x:si>
    <x:t xml:space="preserve">Наименование</x:t>
  </x:si>
  <x:si>
    <x:t xml:space="preserve">46909</x:t>
  </x:si>
  <x:si>
    <x:t xml:space="preserve">Оптовая торговля широким ассортиментом товаров без какой-либо конкретизации</x:t>
  </x:si>
  <x:si>
    <x:t xml:space="preserve">030440004844</x:t>
  </x:si>
  <x:si>
    <x:t xml:space="preserve">Товарищество с ограниченной ответственностью "Трейдфорд"</x:t>
  </x:si>
  <x:si>
    <x:t xml:space="preserve">201040024922</x:t>
  </x:si>
  <x:si>
    <x:t xml:space="preserve">Товарищество с ограниченной ответственностью "Казбургеоснаб"</x:t>
  </x:si>
  <x:si>
    <x:t xml:space="preserve">85310</x:t>
  </x:si>
  <x:si>
    <x:t xml:space="preserve">Основное и общее среднее образование</x:t>
  </x:si>
  <x:si>
    <x:t xml:space="preserve">650440000078</x:t>
  </x:si>
  <x:si>
    <x:t xml:space="preserve">Коммунальное государственное учреждение «Общеобразовательная школа № 2 поселка Аршалы отдела образования по Аршалынскому району управления образования Акмолинской области»</x:t>
  </x:si>
  <x:si>
    <x:t xml:space="preserve">650440000068</x:t>
  </x:si>
  <x:si>
    <x:t xml:space="preserve">Коммунальное государственное учреждение «Общеобразовательная школа села Елтоқ отдела образования по Аршалынскому району управления образования Акмолинской области»</x:t>
  </x:si>
  <x:si>
    <x:t xml:space="preserve">030140004883</x:t>
  </x:si>
  <x:si>
    <x:t xml:space="preserve">коммунальное государственное учреждение "Общеобразовательная школа села Костомар отдела образования по Аршалынскому району управления образования Акмолинской области"</x:t>
  </x:si>
  <x:si>
    <x:t xml:space="preserve">021240004540</x:t>
  </x:si>
  <x:si>
    <x:t xml:space="preserve">Коммунальное государственное учреждение «Общеобразовательная школа села Жалтырколь отдела образования по Аршалынскому району управления образования Акмолинской области»</x:t>
  </x:si>
  <x:si>
    <x:t xml:space="preserve">ОСНОВНОЕ И ОБЩЕЕ СРЕДНЕЕ ОБРАЗОВАНИЕ</x:t>
  </x:si>
  <x:si>
    <x:t xml:space="preserve">221240019461</x:t>
  </x:si>
  <x:si>
    <x:t xml:space="preserve">Коммунальное государственное учреждение "Школа-лицей села Жибек жолы отдела образования по Аршалынскому району управления образования Акмолинской области"</x:t>
  </x:si>
  <x:si>
    <x:t xml:space="preserve">040640006126</x:t>
  </x:si>
  <x:si>
    <x:t xml:space="preserve">Коммунальное государственное учреждение «Общеобразовательная школа № 2 имени Абая села Булаксай отдела образования по Аршалынскому району управления образования Акмолинской области»</x:t>
  </x:si>
  <x:si>
    <x:t xml:space="preserve">35114</x:t>
  </x:si>
  <x:si>
    <x:t xml:space="preserve">Производство электроэнергии прочими электростанциями</x:t>
  </x:si>
  <x:si>
    <x:t xml:space="preserve">180940026932</x:t>
  </x:si>
  <x:si>
    <x:t xml:space="preserve">Товарищество с ограниченной ответственностью "Energo Trust" (Энерго Траст)</x:t>
  </x:si>
  <x:si>
    <x:t xml:space="preserve">35119</x:t>
  </x:si>
  <x:si>
    <x:t xml:space="preserve">190740012263</x:t>
  </x:si>
  <x:si>
    <x:t xml:space="preserve">Товарищество с ограниченной ответственностью "Borey Energo" (Борей Энерго)</x:t>
  </x:si>
  <x:si>
    <x:t xml:space="preserve">41202</x:t>
  </x:si>
  <x:si>
    <x:t xml:space="preserve">Строительство нежилых зданий, за исключением стационарных торговых объектов категорий 1, 2</x:t>
  </x:si>
  <x:si>
    <x:t xml:space="preserve">230640016014</x:t>
  </x:si>
  <x:si>
    <x:t xml:space="preserve">Товарищество с ограниченной ответственностью "БЕЛЛЕС КОНСТРАКШН"</x:t>
  </x:si>
  <x:si>
    <x:t xml:space="preserve">01111</x:t>
  </x:si>
  <x:si>
    <x:t xml:space="preserve">Выращивание зерновых и зернобобовых культур, включая семеноводство</x:t>
  </x:si>
  <x:si>
    <x:t xml:space="preserve">160740020000</x:t>
  </x:si>
  <x:si>
    <x:t xml:space="preserve">Производственный кооператив "Сельскохозяйственный производственный кооператив Астана"</x:t>
  </x:si>
  <x:si>
    <x:t xml:space="preserve">64929</x:t>
  </x:si>
  <x:si>
    <x:t xml:space="preserve">Прочие виды кредитования</x:t>
  </x:si>
  <x:si>
    <x:t xml:space="preserve">050440002851</x:t>
  </x:si>
  <x:si>
    <x:t xml:space="preserve">Товарищество с ограниченной ответственностью "Кредитное товарищество "Аршалы"</x:t>
  </x:si>
  <x:si>
    <x:t xml:space="preserve">42990</x:t>
  </x:si>
  <x:si>
    <x:t xml:space="preserve">Строительство прочих инженерных сооружений, не включенных в другие группировки</x:t>
  </x:si>
  <x:si>
    <x:t xml:space="preserve">061040001596</x:t>
  </x:si>
  <x:si>
    <x:t xml:space="preserve">Товарищество с ограниченной ответственностью "NAK Investments"</x:t>
  </x:si>
  <x:si>
    <x:t xml:space="preserve">23611</x:t>
  </x:si>
  <x:si>
    <x:t xml:space="preserve">Производство сборных железобетонных и бетонных конструкций и изделий</x:t>
  </x:si>
  <x:si>
    <x:t xml:space="preserve">151240016312</x:t>
  </x:si>
  <x:si>
    <x:t xml:space="preserve">Товарищество с ограниченной ответственностью "SG Beton завод"</x:t>
  </x:si>
  <x:si>
    <x:t xml:space="preserve">93299</x:t>
  </x:si>
  <x:si>
    <x:t xml:space="preserve">Прочие виды деятельности по организации отдыха и развлечений</x:t>
  </x:si>
  <x:si>
    <x:t xml:space="preserve">161040009047</x:t>
  </x:si>
  <x:si>
    <x:t xml:space="preserve">Товарищество с ограниченной ответственностью "Жаңа өмір KZ"</x:t>
  </x:si>
  <x:si>
    <x:t xml:space="preserve">08121</x:t>
  </x:si>
  <x:si>
    <x:t xml:space="preserve">Разработка гравийных и песчаных карьеров</x:t>
  </x:si>
  <x:si>
    <x:t xml:space="preserve">000740001716</x:t>
  </x:si>
  <x:si>
    <x:t xml:space="preserve">Товарищество с ограниченной ответственностью "АРКАДА ИНДАСТРИ"</x:t>
  </x:si>
  <x:si>
    <x:t xml:space="preserve">46740</x:t>
  </x:si>
  <x:si>
    <x:t xml:space="preserve">Оптовая торговля скобяными изделиями, водопроводным и отопительным оборудованием и  инвентарем</x:t>
  </x:si>
  <x:si>
    <x:t xml:space="preserve">150940000587</x:t>
  </x:si>
  <x:si>
    <x:t xml:space="preserve">Товарищество с ограниченной ответственностью "Kaz Gelbert Invest"</x:t>
  </x:si>
  <x:si>
    <x:t xml:space="preserve">160340002315</x:t>
  </x:si>
  <x:si>
    <x:t xml:space="preserve">Товарищество с ограниченной ответственностью "Артас Есиль"</x:t>
  </x:si>
  <x:si>
    <x:t xml:space="preserve">46733</x:t>
  </x:si>
  <x:si>
    <x:t xml:space="preserve">ОПТОВАЯ ТОРГОВЛЯ ИЗДЕЛИЯМИ ИЗ БЕТОНА, ЦЕМЕНТА, ГИПСА И АНАЛОГИЧНЫХ МАТЕРИАЛОВ</x:t>
  </x:si>
  <x:si>
    <x:t xml:space="preserve">230440033502</x:t>
  </x:si>
  <x:si>
    <x:t xml:space="preserve">Товарищество с ограниченной ответственностью "Торговый дом SG TRADE"</x:t>
  </x:si>
  <x:si>
    <x:t xml:space="preserve">ОПТОВАЯ ТОРГОВЛЯ ШИРОКИМ АССОРТИМЕНТОМ ТОВАРОВ БЕЗ КАКОЙ-ЛИБО КОНКРЕТИЗАЦИИ</x:t>
  </x:si>
  <x:si>
    <x:t xml:space="preserve">110340010585</x:t>
  </x:si>
  <x:si>
    <x:t xml:space="preserve">Товарищество с ограниченной ответственностью "Mining Machinery Group"</x:t>
  </x:si>
  <x:si>
    <x:t xml:space="preserve">85591</x:t>
  </x:si>
  <x:si>
    <x:t xml:space="preserve">Деятельность вечерних общеобразовательных школ</x:t>
  </x:si>
  <x:si>
    <x:t xml:space="preserve">040840009376</x:t>
  </x:si>
  <x:si>
    <x:t xml:space="preserve">Коммунальное государственное учреждение «Общеобразовательная школа при исправительном учреждении отдела образования по Аршалынскому району управления образования Акмолинской области»</x:t>
  </x:si>
  <x:si>
    <x:t xml:space="preserve">81300</x:t>
  </x:si>
  <x:si>
    <x:t xml:space="preserve">Деятельность по благоустройству территорий</x:t>
  </x:si>
  <x:si>
    <x:t xml:space="preserve">150740000212</x:t>
  </x:si>
  <x:si>
    <x:t xml:space="preserve">Товарищество с ограниченной ответственностью "JARDIN DESIGN&amp;PRODUCTION"</x:t>
  </x:si>
  <x:si>
    <x:t xml:space="preserve">021240003601</x:t>
  </x:si>
  <x:si>
    <x:t xml:space="preserve">Коммунальное государственное учреждение "Общеобразовательная школа имени Иманжусупа Кутпанулы села Жибек жолы отдела образования по Аршалынскому району управления образования Акмолинской области"</x:t>
  </x:si>
  <x:si>
    <x:t xml:space="preserve">41201</x:t>
  </x:si>
  <x:si>
    <x:t xml:space="preserve">Строительство жилых зданий</x:t>
  </x:si>
  <x:si>
    <x:t xml:space="preserve">150140007149</x:t>
  </x:si>
  <x:si>
    <x:t xml:space="preserve">Товарищество с ограниченной ответственностью "OTS (ОТИЭС)"</x:t>
  </x:si>
  <x:si>
    <x:t xml:space="preserve">650440000098</x:t>
  </x:si>
  <x:si>
    <x:t xml:space="preserve">Коммунальное государственное учреждение "Общеобразовательная школа села Жибек жолы отдела образования по Аршалынскому району управления образования Акмолинской области"</x:t>
  </x:si>
  <x:si>
    <x:t xml:space="preserve">23320</x:t>
  </x:si>
  <x:si>
    <x:t xml:space="preserve">Производство кирпича, черепицы и прочих строительных изделий из обожженной глины</x:t>
  </x:si>
  <x:si>
    <x:t xml:space="preserve">141040003173</x:t>
  </x:si>
  <x:si>
    <x:t xml:space="preserve">Товарищество с ограниченной ответственностью "Улпан-1"</x:t>
  </x:si>
  <x:si>
    <x:t xml:space="preserve">42111</x:t>
  </x:si>
  <x:si>
    <x:t xml:space="preserve">СТРОИТЕЛЬСТВО ДОРОГ И АВТОМАГИСТРАЛЕЙ</x:t>
  </x:si>
  <x:si>
    <x:t xml:space="preserve">031140004995</x:t>
  </x:si>
  <x:si>
    <x:t xml:space="preserve">Товарищество с ограниченной ответственностью "РАВС"</x:t>
  </x:si>
  <x:si>
    <x:t xml:space="preserve">10120</x:t>
  </x:si>
  <x:si>
    <x:t xml:space="preserve">Переработка и консервирование мяса сельскохозяйственной птицы</x:t>
  </x:si>
  <x:si>
    <x:t xml:space="preserve">220240026898</x:t>
  </x:si>
  <x:si>
    <x:t xml:space="preserve">Товарищество с ограниченной ответственностью "Arshaly Food"</x:t>
  </x:si>
  <x:si>
    <x:t xml:space="preserve">101240004320</x:t>
  </x:si>
  <x:si>
    <x:t xml:space="preserve">Коммунальное государственное учреждение "Общеобразовательная школа имени Жумабека Ташенова поселка Аршалы отдела образования по Аршалынскому району управления образования Акмолинской области"</x:t>
  </x:si>
  <x:si>
    <x:t xml:space="preserve">700340000056</x:t>
  </x:si>
  <x:si>
    <x:t xml:space="preserve">Коммунальное государственное учреждение «Общеобразовательная школа села Акбулак отдела образования по Аршалынскому району управления образования Акмолинской области»</x:t>
  </x:si>
  <x:si>
    <x:t xml:space="preserve">31090</x:t>
  </x:si>
  <x:si>
    <x:t xml:space="preserve">Производство прочей мебели</x:t>
  </x:si>
  <x:si>
    <x:t xml:space="preserve">980640014717</x:t>
  </x:si>
  <x:si>
    <x:t xml:space="preserve">Товарищество с ограниченной ответственностью "Джамиля"</x:t>
  </x:si>
  <x:si>
    <x:t xml:space="preserve">23630</x:t>
  </x:si>
  <x:si>
    <x:t xml:space="preserve">Производство товарного бетона</x:t>
  </x:si>
  <x:si>
    <x:t xml:space="preserve">100240001461</x:t>
  </x:si>
  <x:si>
    <x:t xml:space="preserve">Товарищество с ограниченной ответственностью "INCOM 2022"</x:t>
  </x:si>
  <x:si>
    <x:t xml:space="preserve">46211</x:t>
  </x:si>
  <x:si>
    <x:t xml:space="preserve">Оптовая торговля зерном, семенами и кормами для животных</x:t>
  </x:si>
  <x:si>
    <x:t xml:space="preserve">201140027326</x:t>
  </x:si>
  <x:si>
    <x:t xml:space="preserve">Товарищество с ограниченной ответственностью "KAZNAN-GROUP"</x:t>
  </x:si>
  <x:si>
    <x:t xml:space="preserve">70221</x:t>
  </x:si>
  <x:si>
    <x:t xml:space="preserve">Консультирование по вопросам коммерческой деятельности и управления</x:t>
  </x:si>
  <x:si>
    <x:t xml:space="preserve">070740016499</x:t>
  </x:si>
  <x:si>
    <x:t xml:space="preserve">Товарищество с ограниченной ответственностью "GENERAL CONSULT"</x:t>
  </x:si>
  <x:si>
    <x:t xml:space="preserve">58130</x:t>
  </x:si>
  <x:si>
    <x:t xml:space="preserve">Издание газет</x:t>
  </x:si>
  <x:si>
    <x:t xml:space="preserve">020240005625</x:t>
  </x:si>
  <x:si>
    <x:t xml:space="preserve">Товарищество с ограниченной ответственностью "АРШАЛЫ-ИНФО"</x:t>
  </x:si>
  <x:si>
    <x:t xml:space="preserve">82990</x:t>
  </x:si>
  <x:si>
    <x:t xml:space="preserve">Прочая деятельность по предоставлению вспомогательных коммерческих услуг, не включенная в другие группировки</x:t>
  </x:si>
  <x:si>
    <x:t xml:space="preserve">110840010474</x:t>
  </x:si>
  <x:si>
    <x:t xml:space="preserve">Товарищество с ограниченной ответственностью "ТД АльянсЭнергоПром"</x:t>
  </x:si>
  <x:si>
    <x:t xml:space="preserve">680340000033</x:t>
  </x:si>
  <x:si>
    <x:t xml:space="preserve">Коммунальное государственное учреждение «Общеобразовательная школа № 1 поселка Аршалы отдела образования по Аршалынскому району управления образования Акмолинской области»</x:t>
  </x:si>
  <x:si>
    <x:t xml:space="preserve">27320</x:t>
  </x:si>
  <x:si>
    <x:t xml:space="preserve">Производство прочих электрических проводов и кабелей</x:t>
  </x:si>
  <x:si>
    <x:t xml:space="preserve">150340011898</x:t>
  </x:si>
  <x:si>
    <x:t xml:space="preserve">Товарищество с ограниченной ответственностью "Кабель КТ"</x:t>
  </x:si>
  <x:si>
    <x:t xml:space="preserve">84130</x:t>
  </x:si>
  <x:si>
    <x:t xml:space="preserve">Регулирование и содействие эффективному ведению экономической деятельности</x:t>
  </x:si>
  <x:si>
    <x:t xml:space="preserve">110140002983</x:t>
  </x:si>
  <x:si>
    <x:t xml:space="preserve">Государственное учреждение "Отдел экономики и финансов Аршалынского района"</x:t>
  </x:si>
  <x:si>
    <x:t xml:space="preserve">85520</x:t>
  </x:si>
  <x:si>
    <x:t xml:space="preserve">Образование в сфере культуры</x:t>
  </x:si>
  <x:si>
    <x:t xml:space="preserve">990440005673</x:t>
  </x:si>
  <x:si>
    <x:t xml:space="preserve">Государственное коммунальное казенное предприятие "Детская музыкальная школа поселка Аршалы при отделе образования по Аршалынскому району управления образования Акмолинской области"</x:t>
  </x:si>
  <x:si>
    <x:t xml:space="preserve">84120</x:t>
  </x:si>
  <x:si>
    <x:t xml:space="preserve">Регулирование деятельности учреждений, обеспечивающих медицинское обслуживание, образование, культурное обслуживание и другие социальные услуги, кроме социального обеспечения</x:t>
  </x:si>
  <x:si>
    <x:t xml:space="preserve">350140000014</x:t>
  </x:si>
  <x:si>
    <x:t xml:space="preserve">Государственное учреждение "Отдел занятости и социальных программ Аршалынского района"</x:t>
  </x:si>
  <x:si>
    <x:t xml:space="preserve">700340000046</x:t>
  </x:si>
  <x:si>
    <x:t xml:space="preserve">Коммунальное государственное учреждение "Общеобразовательная школа имени Бляла Тналина села Берсуат отдела образования по Аршалынскому району управления образования Акмолинской области"</x:t>
  </x:si>
  <x:si>
    <x:t xml:space="preserve">660340000026</x:t>
  </x:si>
  <x:si>
    <x:t xml:space="preserve">Коммунальное государственное учреждение «Общеобразовательная школа села Константиновка отдела образования по Аршалынскому району управления образования Акмолинской области»</x:t>
  </x:si>
  <x:si>
    <x:t xml:space="preserve">47591</x:t>
  </x:si>
  <x:si>
    <x:t xml:space="preserve">Розничная торговля мебелью в специализированных магазинах</x:t>
  </x:si>
  <x:si>
    <x:t xml:space="preserve">150240006114</x:t>
  </x:si>
  <x:si>
    <x:t xml:space="preserve">Товарищество с ограниченной ответственностью "Аршалы KZ"</x:t>
  </x:si>
  <x:si>
    <x:t xml:space="preserve">ПРОИЗВОДСТВО КИРПИЧА, ЧЕРЕПИЦЫ И ПРОЧИХ СТРОИТЕЛЬНЫХ ИЗДЕЛИЙ ИЗ ОБОЖЖЕННОЙ ГЛИНЫ</x:t>
  </x:si>
  <x:si>
    <x:t xml:space="preserve">061040012442</x:t>
  </x:si>
  <x:si>
    <x:t xml:space="preserve">Товарищество с ограниченной ответственностью "LK-KZ"</x:t>
  </x:si>
  <x:si>
    <x:t xml:space="preserve">661040000018</x:t>
  </x:si>
  <x:si>
    <x:t xml:space="preserve">Коммунальное государственное учреждение «Общеобразовательная школа № 2 села Сарыоба отдела образования по Аршалынскому району управления образования Акмолинской области»</x:t>
  </x:si>
  <x:si>
    <x:t xml:space="preserve">210840013231</x:t>
  </x:si>
  <x:si>
    <x:t xml:space="preserve">Товарищество с ограниченной ответственностью "Agrocom kz"</x:t>
  </x:si>
  <x:si>
    <x:t xml:space="preserve">56101</x:t>
  </x:si>
  <x:si>
    <x:t xml:space="preserve">Деятельность ресторанов и предоставление услуг по доставке продуктов питания, за исключением деятельности объектов, находящихся на придорожной полосе</x:t>
  </x:si>
  <x:si>
    <x:t xml:space="preserve">210440021347</x:t>
  </x:si>
  <x:si>
    <x:t xml:space="preserve">Товарищество с ограниченной ответственностью "Jansaya 2021"</x:t>
  </x:si>
  <x:si>
    <x:t xml:space="preserve">Производство электроэнергии ветровыми электростанциями</x:t>
  </x:si>
  <x:si>
    <x:t xml:space="preserve">220640031165</x:t>
  </x:si>
  <x:si>
    <x:t xml:space="preserve">Товарищество с ограниченной ответственностью "Jasil Jel Energy"</x:t>
  </x:si>
  <x:si>
    <x:t xml:space="preserve">28252</x:t>
  </x:si>
  <x:si>
    <x:t xml:space="preserve">Производство кондиционеров воздуха, вентиляторов</x:t>
  </x:si>
  <x:si>
    <x:t xml:space="preserve">130840007051</x:t>
  </x:si>
  <x:si>
    <x:t xml:space="preserve">Товарищество с ограниченной ответственностью "Дерон Строй Сервис"</x:t>
  </x:si>
  <x:si>
    <x:t xml:space="preserve">94920</x:t>
  </x:si>
  <x:si>
    <x:t xml:space="preserve">Деятельность политических организаций</x:t>
  </x:si>
  <x:si>
    <x:t xml:space="preserve">051141009182</x:t>
  </x:si>
  <x:si>
    <x:t xml:space="preserve">Аршалынский районный филиал Акмолинской области общественного объединения "Партия "AMANAT"</x:t>
  </x:si>
  <x:si>
    <x:t xml:space="preserve">021240004164</x:t>
  </x:si>
  <x:si>
    <x:t xml:space="preserve">Коммунальное государственное учреждение «Общеобразовательная школа № 1 станции Сары-Оба отдела образования по Аршалынскому району управления образования Акмолинской области»</x:t>
  </x:si>
  <x:si>
    <x:t xml:space="preserve">75000</x:t>
  </x:si>
  <x:si>
    <x:t xml:space="preserve">Ветеринарная деятельность</x:t>
  </x:si>
  <x:si>
    <x:t xml:space="preserve">120340008703</x:t>
  </x:si>
  <x:si>
    <x:t xml:space="preserve">КОММУНАЛЬНОЕ ГОСУДАРСТВЕННОЕ ПРЕДПРИЯТИЕ НА ПРАВЕ ХОЗЯЙСТВЕННОГО ВЕДЕНИЯ "ВЕТЕРИНАРНАЯ СТАНЦИЯ АРШАЛЫНСКОГО РАЙОНА" ПРИ УПРАВЛЕНИИ ВЕТЕРИНАРИИ АКМОЛИНСКОЙ ОБЛАСТИ</x:t>
  </x:si>
  <x:si>
    <x:t xml:space="preserve">84113</x:t>
  </x:si>
  <x:si>
    <x:t xml:space="preserve">ДЕЯТЕЛЬНОСТЬ МЕСТНЫХ ОРГАНОВ УПРАВЛЕНИЯ</x:t>
  </x:si>
  <x:si>
    <x:t xml:space="preserve">220140006225</x:t>
  </x:si>
  <x:si>
    <x:t xml:space="preserve">Государственное учреждение "Отдел архитектуры, градостроительства и строительства Аршалынского района"</x:t>
  </x:si>
  <x:si>
    <x:t xml:space="preserve">РЕГУЛИРОВАНИЕ И СОДЕЙСТВИЕ ЭФФЕКТИВНОМУ ВЕДЕНИЮ ЭКОНОМИЧЕСКОЙ ДЕЯТЕЛЬНОСТИ</x:t>
  </x:si>
  <x:si>
    <x:t xml:space="preserve">220140004754</x:t>
  </x:si>
  <x:si>
    <x:t xml:space="preserve">Государственное учреждение "Отдел сельского хозяйства, земельных отношений и предпринимательства Аршалынского района"</x:t>
  </x:si>
  <x:si>
    <x:t xml:space="preserve">060140009873</x:t>
  </x:si>
  <x:si>
    <x:t xml:space="preserve">Государственное учреждение "Отдел образования по Аршалынскому району управления образования Акмолинской области"</x:t>
  </x:si>
  <x:si>
    <x:t xml:space="preserve">01500</x:t>
  </x:si>
  <x:si>
    <x:t xml:space="preserve">Смешанное сельское хозяйство</x:t>
  </x:si>
  <x:si>
    <x:t xml:space="preserve">060940002940</x:t>
  </x:si>
  <x:si>
    <x:t xml:space="preserve">Товарищество с ограниченной ответственностью "Племхозяйство Аршалы"</x:t>
  </x:si>
  <x:si>
    <x:t xml:space="preserve">021240004194</x:t>
  </x:si>
  <x:si>
    <x:t xml:space="preserve">Коммунальное государственное учреждение «Общеобразовательная школа села Койгельды отдела образования по Аршалынскому району управления образования Акмолинской области»</x:t>
  </x:si>
  <x:si>
    <x:t xml:space="preserve">731240000020</x:t>
  </x:si>
  <x:si>
    <x:t xml:space="preserve">Коммунальное государственное учреждение «Общеобразовательная школа села Михайловка отдела образования по Аршалынскому району управления образования Акмолинской области»</x:t>
  </x:si>
  <x:si>
    <x:t xml:space="preserve">650440000088</x:t>
  </x:si>
  <x:si>
    <x:t xml:space="preserve">Коммунальное государственное учреждение «Общеобразовательная школа села Арнасай отдела образования по Аршалынскому району управления образования Акмолинской области»</x:t>
  </x:si>
  <x:si>
    <x:t xml:space="preserve">Деятельность местных органов управления</x:t>
  </x:si>
  <x:si>
    <x:t xml:space="preserve">000440002149</x:t>
  </x:si>
  <x:si>
    <x:t xml:space="preserve">Государственное учреждение "Аршалынский районный маслихат"</x:t>
  </x:si>
  <x:si>
    <x:t xml:space="preserve">47191</x:t>
  </x:si>
  <x:si>
    <x:t xml:space="preserve">ПРОЧАЯ РОЗНИЧНАЯ ТОРГОВЛЯ В НЕСПЕЦИАЛИЗИРОВАННЫХ МАГАЗИНАХ, ЯВЛЯЮЩИХСЯ ТОРГОВЫМИ ОБЪЕКТАМИ, С ТОРГОВОЙ ПЛОЩАДЬЮ МЕНЕЕ 2000 КВ.М</x:t>
  </x:si>
  <x:si>
    <x:t xml:space="preserve">870323450653</x:t>
  </x:si>
  <x:si>
    <x:t xml:space="preserve">МАДАЛИЕВА ЕКАТЕРИНА ЛЕОНИДОВНА</x:t>
  </x:si>
  <x:si>
    <x:t xml:space="preserve">980740002380</x:t>
  </x:si>
  <x:si>
    <x:t xml:space="preserve">Коммунальное государственное учреждение «Общеобразовательная школа станции Анар отдела образования по Аршалынскому району управления образования Акмолинской области»</x:t>
  </x:si>
  <x:si>
    <x:t xml:space="preserve">190940034182</x:t>
  </x:si>
  <x:si>
    <x:t xml:space="preserve">Товарищество с ограниченной ответственностью "KAZNAN-GRAIN"</x:t>
  </x:si>
  <x:si>
    <x:t xml:space="preserve">43298</x:t>
  </x:si>
  <x:si>
    <x:t xml:space="preserve">Прочие строительно-монтажные работы, не включенные в другие группировки</x:t>
  </x:si>
  <x:si>
    <x:t xml:space="preserve">150340020689</x:t>
  </x:si>
  <x:si>
    <x:t xml:space="preserve">Товарищество с ограниченной ответственностью "СК Гарант Строй Групп"</x:t>
  </x:si>
  <x:si>
    <x:t xml:space="preserve">46610</x:t>
  </x:si>
  <x:si>
    <x:t xml:space="preserve">Оптовая торговля сельскохозяйственной техникой, оборудованием,  деталями и принадлежностями к ним</x:t>
  </x:si>
  <x:si>
    <x:t xml:space="preserve">880924350626</x:t>
  </x:si>
  <x:si>
    <x:t xml:space="preserve">БЕКИШЕВ АРМАН ЖУМАБЕКОВИЧ</x:t>
  </x:si>
  <x:si>
    <x:t xml:space="preserve">85100</x:t>
  </x:si>
  <x:si>
    <x:t xml:space="preserve">Дошкольное (доначальное) образование</x:t>
  </x:si>
  <x:si>
    <x:t xml:space="preserve">030440004170</x:t>
  </x:si>
  <x:si>
    <x:t xml:space="preserve">Государственное коммунальное казенное предприятие «Ясли-сад «Солнышко» поселка Аршалы при отделе образования по Аршалынскому району управления образования Акмолинской области»</x:t>
  </x:si>
  <x:si>
    <x:t xml:space="preserve">69202</x:t>
  </x:si>
  <x:si>
    <x:t xml:space="preserve">Услуги в области составления счетов и бухгалтерского учета</x:t>
  </x:si>
  <x:si>
    <x:t xml:space="preserve">100740009118</x:t>
  </x:si>
  <x:si>
    <x:t xml:space="preserve">Товарищество с ограниченной ответственностью "Эконом-Финанс"</x:t>
  </x:si>
  <x:si>
    <x:t xml:space="preserve">121240015001</x:t>
  </x:si>
  <x:si>
    <x:t xml:space="preserve">Государственное коммунальное казенное предприятие «Ясли-сад «Бөбек» села Жибек жолы при отделе образования по Аршалынскому району управления образования Акмолинской области</x:t>
  </x:si>
  <x:si>
    <x:t xml:space="preserve">021240004174</x:t>
  </x:si>
  <x:si>
    <x:t xml:space="preserve">Коммунальное государственное учреждение «Основная средняя школа станции Бабатай отдела образования по Аршалынскому району управления образования Акмолинской области»</x:t>
  </x:si>
  <x:si>
    <x:t xml:space="preserve">85321</x:t>
  </x:si>
  <x:si>
    <x:t xml:space="preserve">Профессионально-техническое образование</x:t>
  </x:si>
  <x:si>
    <x:t xml:space="preserve">691240000010</x:t>
  </x:si>
  <x:si>
    <x:t xml:space="preserve">Государственное Коммунальное Казенное Предприятие "Агротехнический колледж, поселок Аршалы" при управлении образования Акмолинской области</x:t>
  </x:si>
  <x:si>
    <x:t xml:space="preserve">650840000092</x:t>
  </x:si>
  <x:si>
    <x:t xml:space="preserve">Коммунальное государственное учреждение «Общеобразовательная школа села Турген отдела образования по Аршалынскому району управления образования Акмолинской области»</x:t>
  </x:si>
  <x:si>
    <x:t xml:space="preserve">970540003042</x:t>
  </x:si>
  <x:si>
    <x:t xml:space="preserve">Товарищество с ограниченной ответственностью "ДОРОЖНИК"</x:t>
  </x:si>
  <x:si>
    <x:t xml:space="preserve">Регулирование деятельности учреждений здравоохранения, образования, культуры и других социальных услуг, кроме социального обеспечения</x:t>
  </x:si>
  <x:si>
    <x:t xml:space="preserve">220140002847</x:t>
  </x:si>
  <x:si>
    <x:t xml:space="preserve">Государственное учреждение «Отдел культуры, развития языков, физической культуры и спорта Аршалынского района»</x:t>
  </x:si>
  <x:si>
    <x:t xml:space="preserve">84114</x:t>
  </x:si>
  <x:si>
    <x:t xml:space="preserve">Деятельность сельских и поселковых органов управления</x:t>
  </x:si>
  <x:si>
    <x:t xml:space="preserve">000440002327</x:t>
  </x:si>
  <x:si>
    <x:t xml:space="preserve">Государственное учреждение "Аппарат акима Ижевского сельского округа"</x:t>
  </x:si>
  <x:si>
    <x:t xml:space="preserve">000440000757</x:t>
  </x:si>
  <x:si>
    <x:t xml:space="preserve">Государственное учреждение "Аппарат акима сельского округа Жибек жолы"</x:t>
  </x:si>
  <x:si>
    <x:t xml:space="preserve">671140000013</x:t>
  </x:si>
  <x:si>
    <x:t xml:space="preserve">Коммунальное государственное учреждение «Общеобразовательная школа села Ижевское отдела образования по Аршалынскому району управления образования Акмолинской области»</x:t>
  </x:si>
  <x:si>
    <x:t xml:space="preserve">890140000115</x:t>
  </x:si>
  <x:si>
    <x:t xml:space="preserve">Коммунальное государственное учреждение «Основная средняя школа села Белоярка отдела образования по Аршалынскому району управления образования Акмолинской области»</x:t>
  </x:si>
  <x:si>
    <x:t xml:space="preserve">021240004124</x:t>
  </x:si>
  <x:si>
    <x:t xml:space="preserve">Коммунальное государственное учреждение «Основная средняя школа села Шортанды отдела образования по Аршалынскому району управления образования Акмолинской области»</x:t>
  </x:si>
  <x:si>
    <x:t xml:space="preserve">Строительство дорог и автомагистралей</x:t>
  </x:si>
  <x:si>
    <x:t xml:space="preserve">980140000947</x:t>
  </x:si>
  <x:si>
    <x:t xml:space="preserve">Товарищество с ограниченной ответственностью "КӨКЖАЛ"</x:t>
  </x:si>
  <x:si>
    <x:t xml:space="preserve">33141</x:t>
  </x:si>
  <x:si>
    <x:t xml:space="preserve">Ремонт и техническое обслуживание электродвигателей, генераторов и трансформаторов</x:t>
  </x:si>
  <x:si>
    <x:t xml:space="preserve">131140016563</x:t>
  </x:si>
  <x:si>
    <x:t xml:space="preserve">Товарищество с ограниченной ответственностью "КазСпецКомплект"</x:t>
  </x:si>
  <x:si>
    <x:t xml:space="preserve">000340003420</x:t>
  </x:si>
  <x:si>
    <x:t xml:space="preserve">Государственное учреждение "Аппарат акима Аршалынского района Акмолинской области"</x:t>
  </x:si>
  <x:si>
    <x:t xml:space="preserve">620940000030</x:t>
  </x:si>
  <x:si>
    <x:t xml:space="preserve">Коммунальное государственное учреждение "Основная средняя школа № 1 села Булаксай отдела образования по Аршалынскому району управления образования Акмолинской области"</x:t>
  </x:si>
  <x:si>
    <x:t xml:space="preserve">041141011003</x:t>
  </x:si>
  <x:si>
    <x:t xml:space="preserve">Аршалынский филиал Товарищества с ограниченной ответственностью "АРКАДА ИНДАСТРИ"</x:t>
  </x:si>
  <x:si>
    <x:t xml:space="preserve">210740017716</x:t>
  </x:si>
  <x:si>
    <x:t xml:space="preserve">Товарищество с ограниченной ответственностью "ТЕХНО-1"</x:t>
  </x:si>
  <x:si>
    <x:t xml:space="preserve">150140015308</x:t>
  </x:si>
  <x:si>
    <x:t xml:space="preserve">Товарищество с ограниченной ответственностью "RGM GROUP ESIL"</x:t>
  </x:si>
  <x:si>
    <x:t xml:space="preserve">46341</x:t>
  </x:si>
  <x:si>
    <x:t xml:space="preserve">Оптовая торговля напитками в магазинах, являющихся торговыми объектами, с торговой площадью менее 2000 кв.м</x:t>
  </x:si>
  <x:si>
    <x:t xml:space="preserve">610902450013</x:t>
  </x:si>
  <x:si>
    <x:t xml:space="preserve">МУЛЛАЕВА ИРИНА АЛЕКСАНДРОВНА</x:t>
  </x:si>
  <x:si>
    <x:t xml:space="preserve">000440003672</x:t>
  </x:si>
  <x:si>
    <x:t xml:space="preserve">Государственное учреждение "Аппарат акима поселка Аршалы"</x:t>
  </x:si>
  <x:si>
    <x:t xml:space="preserve">201040035978</x:t>
  </x:si>
  <x:si>
    <x:t xml:space="preserve">Товарищество с ограниченной ответственностью "КХ Асхат"</x:t>
  </x:si>
  <x:si>
    <x:t xml:space="preserve">08111</x:t>
  </x:si>
  <x:si>
    <x:t xml:space="preserve">Добыча отделочного и строительного камня</x:t>
  </x:si>
  <x:si>
    <x:t xml:space="preserve">211040013843</x:t>
  </x:si>
  <x:si>
    <x:t xml:space="preserve">Товарищество с ограниченной ответственностью "Monolit-Tas"</x:t>
  </x:si>
  <x:si>
    <x:t xml:space="preserve">01471</x:t>
  </x:si>
  <x:si>
    <x:t xml:space="preserve">Разведение птицы на мясо, племенной птицы и молодняка</x:t>
  </x:si>
  <x:si>
    <x:t xml:space="preserve">940940001144</x:t>
  </x:si>
  <x:si>
    <x:t xml:space="preserve">Производственный кооператив "Ижевский"</x:t>
  </x:si>
  <x:si>
    <x:t xml:space="preserve">190240014886</x:t>
  </x:si>
  <x:si>
    <x:t xml:space="preserve">Товарищество с ограниченной ответственностью "Белоярка -2019"</x:t>
  </x:si>
  <x:si>
    <x:t xml:space="preserve">150140021858</x:t>
  </x:si>
  <x:si>
    <x:t xml:space="preserve">Государственное коммунальное казенное предприятие "Ясли-сад "Есілжай" села Ижевское при отделе образования по Аршалынскому району управления образования Акмолинской области</x:t>
  </x:si>
  <x:si>
    <x:t xml:space="preserve">001140001747</x:t>
  </x:si>
  <x:si>
    <x:t xml:space="preserve">Государственное учреждение "Аппарат акима Акбулакского сельского округа"</x:t>
  </x:si>
  <x:si>
    <x:t xml:space="preserve">170540021717</x:t>
  </x:si>
  <x:si>
    <x:t xml:space="preserve">Товарищество с ограниченной ответственностью "ИРМА НС"</x:t>
  </x:si>
  <x:si>
    <x:t xml:space="preserve">43220</x:t>
  </x:si>
  <x:si>
    <x:t xml:space="preserve">Монтаж систем водоснабжения, отопления и кондиционирования воздуха</x:t>
  </x:si>
  <x:si>
    <x:t xml:space="preserve">070740002003</x:t>
  </x:si>
  <x:si>
    <x:t xml:space="preserve">Товарищество с ограниченной ответственностью "ДЕРОНСТРОЙ"</x:t>
  </x:si>
  <x:si>
    <x:t xml:space="preserve">94990</x:t>
  </x:si>
  <x:si>
    <x:t xml:space="preserve">Деятельность прочих общественных организаций, не включенных в другие группировки</x:t>
  </x:si>
  <x:si>
    <x:t xml:space="preserve">060541009423</x:t>
  </x:si>
  <x:si>
    <x:t xml:space="preserve">Аршалынский филиал Общественного объединения «г.Астаны и Акмолинской области организация Казахстанского отраслевого профессионального союза работников просвещения, науки и высшего образования»</x:t>
  </x:si>
  <x:si>
    <x:t xml:space="preserve">121040009073</x:t>
  </x:si>
  <x:si>
    <x:t xml:space="preserve">Товарищество с ограниченной ответственностью "ОРМИС"</x:t>
  </x:si>
  <x:si>
    <x:t xml:space="preserve">85599</x:t>
  </x:si>
  <x:si>
    <x:t xml:space="preserve">Прочие виды образования, не включенные в другие категории</x:t>
  </x:si>
  <x:si>
    <x:t xml:space="preserve">161140004456</x:t>
  </x:si>
  <x:si>
    <x:t xml:space="preserve">коммунальное государственное учреждение "Кабинет психолого-педагогической коррекции № 13, поселок Аршалы, Аршалынский район" управления образования Акмолинской области.</x:t>
  </x:si>
  <x:si>
    <x:t xml:space="preserve">131040014632</x:t>
  </x:si>
  <x:si>
    <x:t xml:space="preserve">Коммунальное государственное учреждение "Молодежный ресурсный центр Аршалынского района"</x:t>
  </x:si>
  <x:si>
    <x:t xml:space="preserve">91013</x:t>
  </x:si>
  <x:si>
    <x:t xml:space="preserve">Деятельность архивов</x:t>
  </x:si>
  <x:si>
    <x:t xml:space="preserve">870940000011</x:t>
  </x:si>
  <x:si>
    <x:t xml:space="preserve">Коммунальное государственное учреждение "Государственный архив Аршалынского района" управления цифровизации и архивов Акмолинской области</x:t>
  </x:si>
  <x:si>
    <x:t xml:space="preserve">69109</x:t>
  </x:si>
  <x:si>
    <x:t xml:space="preserve">ПРОЧАЯ ДЕЯТЕЛЬНОСТЬ В ОБЛАСТИ ПРАВА</x:t>
  </x:si>
  <x:si>
    <x:t xml:space="preserve">080340012464</x:t>
  </x:si>
  <x:si>
    <x:t xml:space="preserve">Товарищество с ограниченной ответственностью "WHITE STRIT"</x:t>
  </x:si>
  <x:si>
    <x:t xml:space="preserve">01431</x:t>
  </x:si>
  <x:si>
    <x:t xml:space="preserve">Разведение лошадей</x:t>
  </x:si>
  <x:si>
    <x:t xml:space="preserve">041240018415</x:t>
  </x:si>
  <x:si>
    <x:t xml:space="preserve">Товарищество с ограниченной ответственностью "ВОЛГОДОНОВСКОЕ"</x:t>
  </x:si>
  <x:si>
    <x:t xml:space="preserve">021240004075</x:t>
  </x:si>
  <x:si>
    <x:t xml:space="preserve">Коммунальное государственное учреждение «Основная средняя школа села Николаевка отдела образования по Аршалынскому району управления образования Акмолинской области»</x:t>
  </x:si>
  <x:si>
    <x:t xml:space="preserve">000440002057</x:t>
  </x:si>
  <x:si>
    <x:t xml:space="preserve">Государственное учреждение "Аппарат акима Анарского сельского округа"</x:t>
  </x:si>
  <x:si>
    <x:t xml:space="preserve">01420</x:t>
  </x:si>
  <x:si>
    <x:t xml:space="preserve">Разведение прочего крупного рогатого скота и буйволов</x:t>
  </x:si>
  <x:si>
    <x:t xml:space="preserve">110340015774</x:t>
  </x:si>
  <x:si>
    <x:t xml:space="preserve">Товарищество с ограниченной ответственностью "Temir Agro"</x:t>
  </x:si>
  <x:si>
    <x:t xml:space="preserve">091040014494</x:t>
  </x:si>
  <x:si>
    <x:t xml:space="preserve">Товарищество с ограниченной ответственностью "Нефрит Голд"</x:t>
  </x:si>
  <x:si>
    <x:t xml:space="preserve">85200</x:t>
  </x:si>
  <x:si>
    <x:t xml:space="preserve">Начальное образование (первая ступень)</x:t>
  </x:si>
  <x:si>
    <x:t xml:space="preserve">021240004372</x:t>
  </x:si>
  <x:si>
    <x:t xml:space="preserve">Коммунальное государственное учреждение «Начальная школа поселка Аршалы отдела образования по Аршалынскому району управления образования Акмолинской области»</x:t>
  </x:si>
  <x:si>
    <x:t xml:space="preserve">56299</x:t>
  </x:si>
  <x:si>
    <x:t xml:space="preserve">ПРОЧАЯ ДЕЯТЕЛЬНОСТЬ ПО ОБЕСПЕЧЕНИЮ ПИТАНИЕМ, НЕ ВКЛЮЧЕННАЯ В ДРУГИЕ ГРУППИРОВКИ</x:t>
  </x:si>
  <x:si>
    <x:t xml:space="preserve">041040008381</x:t>
  </x:si>
  <x:si>
    <x:t xml:space="preserve">Товарищество с ограниченной ответственностью "К.ТАМАРА И К"</x:t>
  </x:si>
  <x:si>
    <x:t xml:space="preserve">000240002865</x:t>
  </x:si>
  <x:si>
    <x:t xml:space="preserve">Товарищество с ограниченной ответственностью "Енбек-1"</x:t>
  </x:si>
  <x:si>
    <x:t xml:space="preserve">46771</x:t>
  </x:si>
  <x:si>
    <x:t xml:space="preserve">Оптовая торговля ломом и отходами черных и цветных металлов</x:t>
  </x:si>
  <x:si>
    <x:t xml:space="preserve">061140004613</x:t>
  </x:si>
  <x:si>
    <x:t xml:space="preserve">Товарищество с ограниченной ответственностью "Понти Плюс"</x:t>
  </x:si>
  <x:si>
    <x:t xml:space="preserve">120640008427</x:t>
  </x:si>
  <x:si>
    <x:t xml:space="preserve">Товарищество с ограниченной ответственностью "КомСервис Ж.Ж."</x:t>
  </x:si>
  <x:si>
    <x:t xml:space="preserve">000440002033</x:t>
  </x:si>
  <x:si>
    <x:t xml:space="preserve">государственное учреждение "Аппарат акима сельского округа Елтоқ"</x:t>
  </x:si>
  <x:si>
    <x:t xml:space="preserve">180340022343</x:t>
  </x:si>
  <x:si>
    <x:t xml:space="preserve">Товарищество с ограниченной ответственностью "Stone карьер"</x:t>
  </x:si>
  <x:si>
    <x:t xml:space="preserve">181040003923</x:t>
  </x:si>
  <x:si>
    <x:t xml:space="preserve">Товарищество с ограниченной ответственностью "Алихан-2018"</x:t>
  </x:si>
  <x:si>
    <x:t xml:space="preserve">000440000846</x:t>
  </x:si>
  <x:si>
    <x:t xml:space="preserve">Государственное учреждение "Аппарат акима Булаксайского аульного округа"</x:t>
  </x:si>
  <x:si>
    <x:t xml:space="preserve">111240001971</x:t>
  </x:si>
  <x:si>
    <x:t xml:space="preserve">Товарищество с ограниченной ответственностью "Акбулак-Агро"</x:t>
  </x:si>
  <x:si>
    <x:t xml:space="preserve">СМЕШАННОЕ СЕЛЬСКОЕ ХОЗЯЙСТВО</x:t>
  </x:si>
  <x:si>
    <x:t xml:space="preserve">190240032983</x:t>
  </x:si>
  <x:si>
    <x:t xml:space="preserve">Товарищество с ограниченной ответственностью "Jardin Farms"</x:t>
  </x:si>
  <x:si>
    <x:t xml:space="preserve">НАЧАЛЬНОЕ ОБРАЗОВАНИЕ (1-Й УРОВЕНЬ)</x:t>
  </x:si>
  <x:si>
    <x:t xml:space="preserve">021240004233</x:t>
  </x:si>
  <x:si>
    <x:t xml:space="preserve">Коммунальное государственное учреждение "Начальная школа села Актасты отдела образования по Аршалынскому району управления образования Акмолинской области"</x:t>
  </x:si>
  <x:si>
    <x:t xml:space="preserve">46716</x:t>
  </x:si>
  <x:si>
    <x:t xml:space="preserve">Оптовая торговля автомобильным бензином</x:t>
  </x:si>
  <x:si>
    <x:t xml:space="preserve">050640008154</x:t>
  </x:si>
  <x:si>
    <x:t xml:space="preserve">Товарищество с ограниченной ответственностью "Вишневская нефтебаза"</x:t>
  </x:si>
  <x:si>
    <x:t xml:space="preserve">030440004071</x:t>
  </x:si>
  <x:si>
    <x:t xml:space="preserve">Государственное коммунальное казенное предприятие "Ясли-сад "Светлячок" поселка Аршалы при отделе образования по Аршалынскому району управления образования Акмолинской области"</x:t>
  </x:si>
  <x:si>
    <x:t xml:space="preserve">93190</x:t>
  </x:si>
  <x:si>
    <x:t xml:space="preserve">Прочая деятельность в области спорта</x:t>
  </x:si>
  <x:si>
    <x:t xml:space="preserve">180440012548</x:t>
  </x:si>
  <x:si>
    <x:t xml:space="preserve">Общественное объединение "Федерация практической, пулевой и стендовой стрельбы Акмолинской области"</x:t>
  </x:si>
  <x:si>
    <x:t xml:space="preserve">021240004114</x:t>
  </x:si>
  <x:si>
    <x:t xml:space="preserve">Коммунальное государственное учреждение «Основная средняя школа села Ольгинка отдела образования по Аршалынскому району управления образования Акмолинской области»</x:t>
  </x:si>
  <x:si>
    <x:t xml:space="preserve">030440004061</x:t>
  </x:si>
  <x:si>
    <x:t xml:space="preserve">Государственное коммунальное казенное предприятие "Ясли-сад "Колокольчик" села Михайловка при отделе образования по Аршалынскому району управления образования Акмолинской области"</x:t>
  </x:si>
  <x:si>
    <x:t xml:space="preserve">030440004488</x:t>
  </x:si>
  <x:si>
    <x:t xml:space="preserve">Государственное коммунальное казенное предприятие "Детский сад "Василек" села Турген при отделе образования по Аршалынскому району управления образования Акмолинской области"</x:t>
  </x:si>
  <x:si>
    <x:t xml:space="preserve">01472</x:t>
  </x:si>
  <x:si>
    <x:t xml:space="preserve">ПРОИЗВОДСТВО ЯИЦ</x:t>
  </x:si>
  <x:si>
    <x:t xml:space="preserve">940340000927</x:t>
  </x:si>
  <x:si>
    <x:t xml:space="preserve">Товарищество с ограниченной ответственностью Племенное хозяйство "Астана-кус"</x:t>
  </x:si>
  <x:si>
    <x:t xml:space="preserve">68201</x:t>
  </x:si>
  <x:si>
    <x:t xml:space="preserve">Аренда и управление собственной недвижимостью</x:t>
  </x:si>
  <x:si>
    <x:t xml:space="preserve">100340012301</x:t>
  </x:si>
  <x:si>
    <x:t xml:space="preserve">Товарищество с ограниченной ответственностью "KAZTECO"</x:t>
  </x:si>
  <x:si>
    <x:t xml:space="preserve">230440036735</x:t>
  </x:si>
  <x:si>
    <x:t xml:space="preserve">Товарищество с ограниченной ответственностью "Ажар Холдинг"</x:t>
  </x:si>
  <x:si>
    <x:t xml:space="preserve">96090</x:t>
  </x:si>
  <x:si>
    <x:t xml:space="preserve">Предоставление прочих индивидуальных услуг, не включенных в другие группировки</x:t>
  </x:si>
  <x:si>
    <x:t xml:space="preserve">220840054934</x:t>
  </x:si>
  <x:si>
    <x:t xml:space="preserve">Товарищество с ограниченной ответственностью "BAYRUM"</x:t>
  </x:si>
  <x:si>
    <x:t xml:space="preserve">130140017767</x:t>
  </x:si>
  <x:si>
    <x:t xml:space="preserve">Государственное коммунальное казенное предприятие «Ясли-сад «Құлыншақ» станции Анар при отделе образования по Аршалынскому району управления образования Акмолинской области»</x:t>
  </x:si>
  <x:si>
    <x:t xml:space="preserve">170340006131</x:t>
  </x:si>
  <x:si>
    <x:t xml:space="preserve">Товарищество с ограниченной ответственностью "Колос-2017"</x:t>
  </x:si>
  <x:si>
    <x:t xml:space="preserve">171140040385</x:t>
  </x:si>
  <x:si>
    <x:t xml:space="preserve">Товарищество с ограниченной ответственностью "Tabys 2018"</x:t>
  </x:si>
  <x:si>
    <x:t xml:space="preserve">85510</x:t>
  </x:si>
  <x:si>
    <x:t xml:space="preserve">Спортивное образование и образование специалистов организации досуга</x:t>
  </x:si>
  <x:si>
    <x:t xml:space="preserve">000440002664</x:t>
  </x:si>
  <x:si>
    <x:t xml:space="preserve">Коммунальное государственное учреждение "Аршалынская детско-юношеская спортивная школа" управления физической культуры и спорта Акмолинской области</x:t>
  </x:si>
  <x:si>
    <x:t xml:space="preserve">130840010180</x:t>
  </x:si>
  <x:si>
    <x:t xml:space="preserve">Товарищество с ограниченной ответственностью "Неруд Центр Есіл"</x:t>
  </x:si>
  <x:si>
    <x:t xml:space="preserve">000440002248</x:t>
  </x:si>
  <x:si>
    <x:t xml:space="preserve">Государственное учреждение "Аппарат акима Берсуатского сельского округа"</x:t>
  </x:si>
  <x:si>
    <x:t xml:space="preserve">23700</x:t>
  </x:si>
  <x:si>
    <x:t xml:space="preserve">Резка, обработка и отделка камня</x:t>
  </x:si>
  <x:si>
    <x:t xml:space="preserve">180740011124</x:t>
  </x:si>
  <x:si>
    <x:t xml:space="preserve">Товарищество с ограниченной ответственностью "Жасыл Тас - ДАМУ"</x:t>
  </x:si>
  <x:si>
    <x:t xml:space="preserve">940340000898</x:t>
  </x:si>
  <x:si>
    <x:t xml:space="preserve">Акционерное общество "КАЗШПАЛ"</x:t>
  </x:si>
  <x:si>
    <x:t xml:space="preserve">000440002021</x:t>
  </x:si>
  <x:si>
    <x:t xml:space="preserve">Государственное учреждение "Аппарат акима Михайловского сельского округа"</x:t>
  </x:si>
  <x:si>
    <x:t xml:space="preserve">990440004873</x:t>
  </x:si>
  <x:si>
    <x:t xml:space="preserve">Коммунальное государственное учреждение "Центр детско-юношеского творчества поселка Аршалы отдела образования по Аршалынскому району управления образования Акмолинской области"</x:t>
  </x:si>
  <x:si>
    <x:t xml:space="preserve">Прочая деятельность в области образования, не включенная в другие группировки</x:t>
  </x:si>
  <x:si>
    <x:t xml:space="preserve">990440004863</x:t>
  </x:si>
  <x:si>
    <x:t xml:space="preserve">Коммунальное государственное учреждение "Станция юных техников поселка Аршалы отдела образования по Аршалынскому району управления образования Акмолинской области"</x:t>
  </x:si>
  <x:si>
    <x:t xml:space="preserve">91012</x:t>
  </x:si>
  <x:si>
    <x:t xml:space="preserve">Библиотечная деятельность, включая деятельность читальных залов, лекториев, демонстрационных залов</x:t>
  </x:si>
  <x:si>
    <x:t xml:space="preserve">040940003162</x:t>
  </x:si>
  <x:si>
    <x:t xml:space="preserve">Коммунальное государственное учреждение "Централизованная библиотечная система" отдела культуры, развития языков, физической культуры и спорта Аршалынского района</x:t>
  </x:si>
  <x:si>
    <x:t xml:space="preserve">130640016836</x:t>
  </x:si>
  <x:si>
    <x:t xml:space="preserve">Товарищество с ограниченной ответственностью "FORTE METAL"</x:t>
  </x:si>
  <x:si>
    <x:t xml:space="preserve">84230</x:t>
  </x:si>
  <x:si>
    <x:t xml:space="preserve">Деятельность в области юстиции и правосудия</x:t>
  </x:si>
  <x:si>
    <x:t xml:space="preserve">930840000488</x:t>
  </x:si>
  <x:si>
    <x:t xml:space="preserve">республиканское государственное учреждение "Учреждение № 2" Комитета уголовно-исполнительной системы Министерства внутренних дел Республики Казахстан"</x:t>
  </x:si>
  <x:si>
    <x:t xml:space="preserve">230340037809</x:t>
  </x:si>
  <x:si>
    <x:t xml:space="preserve">Товарищество с ограниченной ответственностью "Дополнительный образовательный центр "Zerde""</x:t>
  </x:si>
  <x:si>
    <x:t xml:space="preserve">31012</x:t>
  </x:si>
  <x:si>
    <x:t xml:space="preserve">Производство мебели для офисов и предприятий торговли, кроме стульев и другой мебели для сидения</x:t>
  </x:si>
  <x:si>
    <x:t xml:space="preserve">070940021989</x:t>
  </x:si>
  <x:si>
    <x:t xml:space="preserve">Товарищество с ограниченной ответственностью "Дизайнер-ДЖА-КО"</x:t>
  </x:si>
  <x:si>
    <x:t xml:space="preserve">170240022893</x:t>
  </x:si>
  <x:si>
    <x:t xml:space="preserve">Товарищество с ограниченной ответственностью "КазCпецРесурс 2050"</x:t>
  </x:si>
  <x:si>
    <x:t xml:space="preserve">030440004517</x:t>
  </x:si>
  <x:si>
    <x:t xml:space="preserve">Государственное коммунальное казенное предприятие "Детский сад "Березка" села Константиновка при отделе образования по Аршалынскому району управления образования Акмолинской области"</x:t>
  </x:si>
  <x:si>
    <x:t xml:space="preserve">Дошкольное образование</x:t>
  </x:si>
  <x:si>
    <x:t xml:space="preserve">210440037600</x:t>
  </x:si>
  <x:si>
    <x:t xml:space="preserve">Товарищество с ограниченной ответственностью "Балажан 2050"</x:t>
  </x:si>
  <x:si>
    <x:t xml:space="preserve">47731</x:t>
  </x:si>
  <x:si>
    <x:t xml:space="preserve">Розничная торговля фармацевтическими товарами в специализированных магазинах</x:t>
  </x:si>
  <x:si>
    <x:t xml:space="preserve">180840016644</x:t>
  </x:si>
  <x:si>
    <x:t xml:space="preserve">Товарищество с ограниченной ответственностью "Айзере Фарм 2018"</x:t>
  </x:si>
  <x:si>
    <x:t xml:space="preserve">200440003545</x:t>
  </x:si>
  <x:si>
    <x:t xml:space="preserve">Товарищество с ограниченной ответственностью "ПК "Агромир""</x:t>
  </x:si>
  <x:si>
    <x:t xml:space="preserve">980940000084</x:t>
  </x:si>
  <x:si>
    <x:t xml:space="preserve">Товарищество с ограниченной ответственностью "Николаевское"</x:t>
  </x:si>
  <x:si>
    <x:t xml:space="preserve">041240013216</x:t>
  </x:si>
  <x:si>
    <x:t xml:space="preserve">Товарищество с ограниченной ответственностью "МИХАЙЛОВСКОЕ"</x:t>
  </x:si>
  <x:si>
    <x:t xml:space="preserve">01450</x:t>
  </x:si>
  <x:si>
    <x:t xml:space="preserve">Разведение овец и коз</x:t>
  </x:si>
  <x:si>
    <x:t xml:space="preserve">221140039763</x:t>
  </x:si>
  <x:si>
    <x:t xml:space="preserve">Товарищество с ограниченной ответственностью "Мир мяса"</x:t>
  </x:si>
  <x:si>
    <x:t xml:space="preserve">030440004478</x:t>
  </x:si>
  <x:si>
    <x:t xml:space="preserve">Государственное коммунальное казенное предприятие «Детский сад «Одуванчик» села Арнасай при отделе образования по Аршалынскому району управления образования Акмолинской области»</x:t>
  </x:si>
  <x:si>
    <x:t xml:space="preserve">140640000306</x:t>
  </x:si>
  <x:si>
    <x:t xml:space="preserve">Товарищество с ограниченной ответственностью "Инженер Строй Класс"</x:t>
  </x:si>
  <x:si>
    <x:t xml:space="preserve">081040012753</x:t>
  </x:si>
  <x:si>
    <x:t xml:space="preserve">Товарищество с ограниченной ответственностью "САРЫБИИК"</x:t>
  </x:si>
  <x:si>
    <x:t xml:space="preserve">000440002045</x:t>
  </x:si>
  <x:si>
    <x:t xml:space="preserve">Государственное учреждение "Аппарат акима Константиновского сельского округа"</x:t>
  </x:si>
  <x:si>
    <x:t xml:space="preserve">000640004698</x:t>
  </x:si>
  <x:si>
    <x:t xml:space="preserve">Товарищество с ограниченной ответственностью "Адал-Ниет"</x:t>
  </x:si>
  <x:si>
    <x:t xml:space="preserve">10720</x:t>
  </x:si>
  <x:si>
    <x:t xml:space="preserve">Производство сухарей и печенья; производство мучных кондитерских изделий, тортов, пирожных, пирогов и бисквитов, предназначенных для длительного хранения</x:t>
  </x:si>
  <x:si>
    <x:t xml:space="preserve">190840007308</x:t>
  </x:si>
  <x:si>
    <x:t xml:space="preserve">Товарищество с ограниченной ответственностью "QazBiscuit"</x:t>
  </x:si>
  <x:si>
    <x:t xml:space="preserve">090340003497</x:t>
  </x:si>
  <x:si>
    <x:t xml:space="preserve">Товарищество с ограниченной ответственностью "QAZAQ CITY STROY" (КАЗАК СИТИ СТРОЙ)</x:t>
  </x:si>
  <x:si>
    <x:t xml:space="preserve">190340025766</x:t>
  </x:si>
  <x:si>
    <x:t xml:space="preserve">Товарищество с ограниченной ответственностью "Arlen LTD"</x:t>
  </x:si>
  <x:si>
    <x:t xml:space="preserve">990440004942</x:t>
  </x:si>
  <x:si>
    <x:t xml:space="preserve">Государственное коммунальное казенное предприятие "Аршалынский районный Дом культуры" акимата Аршалынского района</x:t>
  </x:si>
  <x:si>
    <x:t xml:space="preserve">ДОШКОЛЬНОЕ ОБРАЗОВАНИЕ</x:t>
  </x:si>
  <x:si>
    <x:t xml:space="preserve">220240023090</x:t>
  </x:si>
  <x:si>
    <x:t xml:space="preserve">Товарищество с ограниченной ответственностью "Ясли-Сад "Baby Kids 2022""</x:t>
  </x:si>
  <x:si>
    <x:t xml:space="preserve">Строительство прочих объектов гражданского строительства, не включенных в другие группировки</x:t>
  </x:si>
  <x:si>
    <x:t xml:space="preserve">130640023768</x:t>
  </x:si>
  <x:si>
    <x:t xml:space="preserve">Товарищество с ограниченной ответственностью "EVRO КЛИМАТ АСТАНА"</x:t>
  </x:si>
  <x:si>
    <x:t xml:space="preserve">46713</x:t>
  </x:si>
  <x:si>
    <x:t xml:space="preserve">ОПТОВАЯ ТОРГОВЛЯ КАМЕННЫМ УГЛЕМ</x:t>
  </x:si>
  <x:si>
    <x:t xml:space="preserve">160140025753</x:t>
  </x:si>
  <x:si>
    <x:t xml:space="preserve">Товарищество с ограниченной ответственностью "АНТРАЦИТ-ПЛЮС"</x:t>
  </x:si>
  <x:si>
    <x:t xml:space="preserve">47892</x:t>
  </x:si>
  <x:si>
    <x:t xml:space="preserve">РОЗНИЧНАЯ ТОРГОВЛЯ ПРОЧИМИ ТОВАРАМИ НА РЫНКАХ</x:t>
  </x:si>
  <x:si>
    <x:t xml:space="preserve">230640027159</x:t>
  </x:si>
  <x:si>
    <x:t xml:space="preserve">Товарищество с ограниченной ответственностью ""ASTANA AGASH ALEMI""</x:t>
  </x:si>
  <x:si>
    <x:t xml:space="preserve">210640037935</x:t>
  </x:si>
  <x:si>
    <x:t xml:space="preserve">Товарищество с ограниченной ответственностью "Садовый центр "ZHIBEK ZHOLY"</x:t>
  </x:si>
  <x:si>
    <x:t xml:space="preserve">211040024141</x:t>
  </x:si>
  <x:si>
    <x:t xml:space="preserve">Товарищество с ограниченной ответственностью "СӘҒИЛЯ и Е"</x:t>
  </x:si>
  <x:si>
    <x:t xml:space="preserve">180640005790</x:t>
  </x:si>
  <x:si>
    <x:t xml:space="preserve">Товарищество с ограниченной ответственностью "TAS Premium"</x:t>
  </x:si>
  <x:si>
    <x:t xml:space="preserve">001040001654</x:t>
  </x:si>
  <x:si>
    <x:t xml:space="preserve">Государственное учреждение "Аппарат акима Сарабинского сельского округа"</x:t>
  </x:si>
  <x:si>
    <x:t xml:space="preserve">10130</x:t>
  </x:si>
  <x:si>
    <x:t xml:space="preserve">Производство продуктов из мяса и мяса домашней птицы</x:t>
  </x:si>
  <x:si>
    <x:t xml:space="preserve">861021302963</x:t>
  </x:si>
  <x:si>
    <x:t xml:space="preserve">КИМ АРТУР ИГОРЕВИЧ</x:t>
  </x:si>
  <x:si>
    <x:t xml:space="preserve">100940014347</x:t>
  </x:si>
  <x:si>
    <x:t xml:space="preserve">Товарищество с ограниченной ответственностью "Ромада"</x:t>
  </x:si>
  <x:si>
    <x:t xml:space="preserve">140740008890</x:t>
  </x:si>
  <x:si>
    <x:t xml:space="preserve">Товарищество с ограниченной ответственностью "Нурдаулет Астана"</x:t>
  </x:si>
  <x:si>
    <x:t xml:space="preserve">751223499036</x:t>
  </x:si>
  <x:si>
    <x:t xml:space="preserve">АХАЙ САЯГУЛЬ</x:t>
  </x:si>
  <x:si>
    <x:t xml:space="preserve">000440001745</x:t>
  </x:si>
  <x:si>
    <x:t xml:space="preserve">Государственное учреждение "Аппарат акима сельского округа Турген"</x:t>
  </x:si>
  <x:si>
    <x:t xml:space="preserve">220240016860</x:t>
  </x:si>
  <x:si>
    <x:t xml:space="preserve">Товарищество с ограниченной ответственностью "Daryn-2022"</x:t>
  </x:si>
  <x:si>
    <x:t xml:space="preserve">220240030925</x:t>
  </x:si>
  <x:si>
    <x:t xml:space="preserve">Товарищество с ограниченной ответственностью "Ясли-Сад Әдемім 2"</x:t>
  </x:si>
  <x:si>
    <x:t xml:space="preserve">47999</x:t>
  </x:si>
  <x:si>
    <x:t xml:space="preserve">ПРОЧАЯ РОЗНИЧНАЯ ТОРГОВЛЯ ВНЕ МАГАЗИНОВ</x:t>
  </x:si>
  <x:si>
    <x:t xml:space="preserve">190140022883</x:t>
  </x:si>
  <x:si>
    <x:t xml:space="preserve">Товарищество с ограниченной ответственностью "СПЕЦМОДУЛЬ"</x:t>
  </x:si>
  <x:si>
    <x:t xml:space="preserve">200240018249</x:t>
  </x:si>
  <x:si>
    <x:t xml:space="preserve">Товарищество с ограниченной ответственностью "Бал Агро"</x:t>
  </x:si>
  <x:si>
    <x:t xml:space="preserve">01132</x:t>
  </x:si>
  <x:si>
    <x:t xml:space="preserve">Выращивание овощей, их семян и рассады</x:t>
  </x:si>
  <x:si>
    <x:t xml:space="preserve">180240037457</x:t>
  </x:si>
  <x:si>
    <x:t xml:space="preserve">Товарищество с ограниченной ответственностью "АРШАЛЫНСКИЕ ТЕПЛИЦЫ"</x:t>
  </x:si>
  <x:si>
    <x:t xml:space="preserve">160640011870</x:t>
  </x:si>
  <x:si>
    <x:t xml:space="preserve">Товарищество с ограниченной ответственностью "КВАРЦ АСТАНА ПЛЮС"</x:t>
  </x:si>
  <x:si>
    <x:t xml:space="preserve">060140009919</x:t>
  </x:si>
  <x:si>
    <x:t xml:space="preserve">Государственное учреждение "Отдел внутренней политики Аршалынского района"</x:t>
  </x:si>
  <x:si>
    <x:t xml:space="preserve">77311</x:t>
  </x:si>
  <x:si>
    <x:t xml:space="preserve">Аренда сельскохозяйственной техники и оборудования</x:t>
  </x:si>
  <x:si>
    <x:t xml:space="preserve">070640011356</x:t>
  </x:si>
  <x:si>
    <x:t xml:space="preserve">Товарищество с ограниченной ответственностью "Ленат"</x:t>
  </x:si>
  <x:si>
    <x:t xml:space="preserve">220840053748</x:t>
  </x:si>
  <x:si>
    <x:t xml:space="preserve">Товарищество с ограниченной ответственностью "Ясли-Сад "Әдемім-3"</x:t>
  </x:si>
  <x:si>
    <x:t xml:space="preserve">220240036479</x:t>
  </x:si>
  <x:si>
    <x:t xml:space="preserve">Товарищество с ограниченной ответственностью "РАСУЛ ЭКО АГРО"</x:t>
  </x:si>
  <x:si>
    <x:t xml:space="preserve">221240043345</x:t>
  </x:si>
  <x:si>
    <x:t xml:space="preserve">Товарищество с ограниченной ответственностью "Алтын сака-2"</x:t>
  </x:si>
  <x:si>
    <x:t xml:space="preserve">42219</x:t>
  </x:si>
  <x:si>
    <x:t xml:space="preserve">Строительство прочих распределительных инженерных сооружений</x:t>
  </x:si>
  <x:si>
    <x:t xml:space="preserve">190340013485</x:t>
  </x:si>
  <x:si>
    <x:t xml:space="preserve">Товарищество с ограниченной ответственностью "West Company Group"</x:t>
  </x:si>
  <x:si>
    <x:t xml:space="preserve">13920</x:t>
  </x:si>
  <x:si>
    <x:t xml:space="preserve">ПРОИЗВОДСТВО ГОТОВЫХ ТЕКСТИЛЬНЫХ ИЗДЕЛИЙ, КРОМЕ ОДЕЖДЫ</x:t>
  </x:si>
  <x:si>
    <x:t xml:space="preserve">170940022492</x:t>
  </x:si>
  <x:si>
    <x:t xml:space="preserve">Товарищество с ограниченной ответственностью "NBCom"</x:t>
  </x:si>
  <x:si>
    <x:t xml:space="preserve">45201</x:t>
  </x:si>
  <x:si>
    <x:t xml:space="preserve">Техническое обслуживание и ремонт автомобилей, за исключением произведенных станциями технического обслуживания, находящимися на придорожной полосе</x:t>
  </x:si>
  <x:si>
    <x:t xml:space="preserve">161240003977</x:t>
  </x:si>
  <x:si>
    <x:t xml:space="preserve">Товарищество с ограниченной ответственностью "Дилерский Центр КАМАЗ"</x:t>
  </x:si>
  <x:si>
    <x:t xml:space="preserve">Розничная торговля фармацевтическими товарами в специализированных магазинах, являющихся торговыми объектами, с торговой площадью менее 2000 кв.м</x:t>
  </x:si>
  <x:si>
    <x:t xml:space="preserve">220740014961</x:t>
  </x:si>
  <x:si>
    <x:t xml:space="preserve">Товарищество с ограниченной ответственностью "AZIA farm"</x:t>
  </x:si>
  <x:si>
    <x:t xml:space="preserve">041240004643</x:t>
  </x:si>
  <x:si>
    <x:t xml:space="preserve">Товарищество с ограниченной ответственностью "Актасты-Агро"</x:t>
  </x:si>
  <x:si>
    <x:t xml:space="preserve">180140033094</x:t>
  </x:si>
  <x:si>
    <x:t xml:space="preserve">Товарищество с ограниченной ответственностью "БОГАТЫРЕВ"</x:t>
  </x:si>
  <x:si>
    <x:t xml:space="preserve">041240013563</x:t>
  </x:si>
  <x:si>
    <x:t xml:space="preserve">Товарищество с ограниченной ответственностью "Койгельды-Астык"</x:t>
  </x:si>
  <x:si>
    <x:t xml:space="preserve">55101</x:t>
  </x:si>
  <x:si>
    <x:t xml:space="preserve">Предоставление услуг гостиницами с ресторанами</x:t>
  </x:si>
  <x:si>
    <x:t xml:space="preserve">120340021463</x:t>
  </x:si>
  <x:si>
    <x:t xml:space="preserve">Товарищество с ограниченной ответственностью "Сарыарка Сервис"</x:t>
  </x:si>
  <x:si>
    <x:t xml:space="preserve">221040030465</x:t>
  </x:si>
  <x:si>
    <x:t xml:space="preserve">Товарищество с ограниченной ответственностью "Ясли-сад "Бақыт әлемі"</x:t>
  </x:si>
  <x:si>
    <x:t xml:space="preserve">030540001685</x:t>
  </x:si>
  <x:si>
    <x:t xml:space="preserve">Товарищество с ограниченной ответственностью "АгроСервис-Аршалы"</x:t>
  </x:si>
  <x:si>
    <x:t xml:space="preserve">230740019974</x:t>
  </x:si>
  <x:si>
    <x:t xml:space="preserve">Товарищество с ограниченной ответственностью "Adal tas"</x:t>
  </x:si>
  <x:si>
    <x:t xml:space="preserve">210340014559</x:t>
  </x:si>
  <x:si>
    <x:t xml:space="preserve">Товарищество с ограниченной ответственностью "Агро Престиж М"</x:t>
  </x:si>
  <x:si>
    <x:t xml:space="preserve">86101</x:t>
  </x:si>
  <x:si>
    <x:t xml:space="preserve">ДЕЯТЕЛЬНОСТЬ БОЛЬНИЦ ШИРОКОГО ПРОФИЛЯ И СПЕЦИАЛИЗИРОВАННЫХ БОЛЬНИЦ</x:t>
  </x:si>
  <x:si>
    <x:t xml:space="preserve">090340005863</x:t>
  </x:si>
  <x:si>
    <x:t xml:space="preserve">Государственное коммунальное предприятие на праве хозяйственного ведения "Аршалынская районная больница" при управлении здравоохранения Акмолинской области</x:t>
  </x:si>
  <x:si>
    <x:t xml:space="preserve">600121300955</x:t>
  </x:si>
  <x:si>
    <x:t xml:space="preserve">АКШИНЕЕВ ЖАБАЙХАН ТУРСУНХАНОВИЧ</x:t>
  </x:si>
  <x:si>
    <x:t xml:space="preserve">160940020701</x:t>
  </x:si>
  <x:si>
    <x:t xml:space="preserve">Товарищество с ограниченной ответственностью "СХ ГРУПП ЛТД"</x:t>
  </x:si>
  <x:si>
    <x:t xml:space="preserve">060140011643</x:t>
  </x:si>
  <x:si>
    <x:t xml:space="preserve">Государственное учреждение "Отдел жилищно-коммунального хозяйства, пассажирского транспорта и автомобильных дорог Аршалынского района"</x:t>
  </x:si>
  <x:si>
    <x:t xml:space="preserve">47111</x:t>
  </x:si>
  <x:si>
    <x:t xml:space="preserve">Розничная торговля преимущественно продуктами питания, напитками и табачными изделиями в неспециализированных магазинах, являющихся торговыми объектами, с торговой площадью менее 2000 кв.м</x:t>
  </x:si>
  <x:si>
    <x:t xml:space="preserve">220140011300</x:t>
  </x:si>
  <x:si>
    <x:t xml:space="preserve">Товарищество с ограниченной ответственностью "Qaz Road Ltd"</x:t>
  </x:si>
  <x:si>
    <x:t xml:space="preserve">Прочая розничная торговля в неспециализированных магазинах</x:t>
  </x:si>
  <x:si>
    <x:t xml:space="preserve">850311350777</x:t>
  </x:si>
  <x:si>
    <x:t xml:space="preserve">АНОШКИН АЛЕКСАНДР МИХАЙЛОВИЧ</x:t>
  </x:si>
  <x:si>
    <x:t xml:space="preserve">110740008766</x:t>
  </x:si>
  <x:si>
    <x:t xml:space="preserve">Товарищество с ограниченной ответственностью "ЛЕНФАРМА"</x:t>
  </x:si>
  <x:si>
    <x:t xml:space="preserve">230240036400</x:t>
  </x:si>
  <x:si>
    <x:t xml:space="preserve">Товарищество с ограниченной ответственностью "Ясли-сад "Шаттық""</x:t>
  </x:si>
  <x:si>
    <x:t xml:space="preserve">211140013080</x:t>
  </x:si>
  <x:si>
    <x:t xml:space="preserve">Товарищество с ограниченной ответственностью Ясли садик "Айым-2019"</x:t>
  </x:si>
  <x:si>
    <x:t xml:space="preserve">210740004190</x:t>
  </x:si>
  <x:si>
    <x:t xml:space="preserve">Товарищество с ограниченной ответственностью ""БАЛБӨБЕК" бөбектер балабақшасы"</x:t>
  </x:si>
  <x:si>
    <x:t xml:space="preserve">700211301428</x:t>
  </x:si>
  <x:si>
    <x:t xml:space="preserve">ИЛИУПОВ ТУЛЕГЕН ЖУМАТАЕВИЧ</x:t>
  </x:si>
  <x:si>
    <x:t xml:space="preserve">880910450656</x:t>
  </x:si>
  <x:si>
    <x:t xml:space="preserve">СПИРИДОНОВА СВЕТЛАНА АЛЕКСАНДРОВНА</x:t>
  </x:si>
  <x:si>
    <x:t xml:space="preserve">101040014528</x:t>
  </x:si>
  <x:si>
    <x:t xml:space="preserve">Государственное коммунальное казенное предприятие "Детский сад "Балапан" села Сараба при отделе образования по Аршалынскому району управления образования Акмолинской области"</x:t>
  </x:si>
  <x:si>
    <x:t xml:space="preserve">85530</x:t>
  </x:si>
  <x:si>
    <x:t xml:space="preserve">Деятельность школ подготовки водителей транспортных средств</x:t>
  </x:si>
  <x:si>
    <x:t xml:space="preserve">190740005230</x:t>
  </x:si>
  <x:si>
    <x:t xml:space="preserve">Товарищество с ограниченной ответственностью "Аршалы ОТАН"</x:t>
  </x:si>
  <x:si>
    <x:t xml:space="preserve">94910</x:t>
  </x:si>
  <x:si>
    <x:t xml:space="preserve">Деятельность религиозных организаций</x:t>
  </x:si>
  <x:si>
    <x:t xml:space="preserve">910440000281</x:t>
  </x:si>
  <x:si>
    <x:t xml:space="preserve">Местное православное религиозное объединение "Приход храма Святой Великомученицы Екатерины" п.Аршалы Кокшетауской и Акмолинской Епархии"</x:t>
  </x:si>
  <x:si>
    <x:t xml:space="preserve">77111</x:t>
  </x:si>
  <x:si>
    <x:t xml:space="preserve">Аренда автомобилей и легковых автомобилей</x:t>
  </x:si>
  <x:si>
    <x:t xml:space="preserve">150540012516</x:t>
  </x:si>
  <x:si>
    <x:t xml:space="preserve">Товарищество с ограниченной ответственностью "АМЕТИСТ 2022"</x:t>
  </x:si>
  <x:si>
    <x:t xml:space="preserve">210741016258</x:t>
  </x:si>
  <x:si>
    <x:t xml:space="preserve">филиал Республиканского исламского религиозного объединения "Духовное управление мусульман Казахстана" "сельская мечеть Жибек жолы"</x:t>
  </x:si>
  <x:si>
    <x:t xml:space="preserve">09900</x:t>
  </x:si>
  <x:si>
    <x:t xml:space="preserve">Предоставление услуг, способствующих добыче других полезных ископаемых</x:t>
  </x:si>
  <x:si>
    <x:t xml:space="preserve">220940011598</x:t>
  </x:si>
  <x:si>
    <x:t xml:space="preserve">Товарищество с ограниченной ответственностью "Forum Geology"</x:t>
  </x:si>
  <x:si>
    <x:t xml:space="preserve">000240001718</x:t>
  </x:si>
  <x:si>
    <x:t xml:space="preserve">Товарищество с ограниченной ответственностью "ОЛЬГИНСКОЕ"</x:t>
  </x:si>
  <x:si>
    <x:t xml:space="preserve">020441008256</x:t>
  </x:si>
  <x:si>
    <x:t xml:space="preserve">филиал Республиканского исламского религиозного объединения "Духовное управление мусульман Казахстана" Аршалынская районная мечеть "Нуралы би"</x:t>
  </x:si>
  <x:si>
    <x:t xml:space="preserve">141140014406</x:t>
  </x:si>
  <x:si>
    <x:t xml:space="preserve">Местное православное религиозное объединение "Приход храма Покрова Пресвятой Богородицы" п.Жибек Жолы Кокшетауской и Акмолинской Епархии</x:t>
  </x:si>
  <x:si>
    <x:t xml:space="preserve">240140034294</x:t>
  </x:si>
  <x:si>
    <x:t xml:space="preserve">Товарищество с ограниченной ответственностью "ӘЛИМБЕТАГРОКЗ"</x:t>
  </x:si>
  <x:si>
    <x:t xml:space="preserve">731125350010</x:t>
  </x:si>
  <x:si>
    <x:t xml:space="preserve">ПОВАЛЯЕВ ДМИТРИЙ АНАТОЛЬЕВИЧ</x:t>
  </x:si>
  <x:si>
    <x:t xml:space="preserve">720921300027</x:t>
  </x:si>
  <x:si>
    <x:t xml:space="preserve">САТТЫБАЕВ РУСЛАН ИРЛАНОВИЧ</x:t>
  </x:si>
  <x:si>
    <x:t xml:space="preserve">140940017391</x:t>
  </x:si>
  <x:si>
    <x:t xml:space="preserve">Товарищество с ограниченной ответственностью "АмАн и К"</x:t>
  </x:si>
  <x:si>
    <x:t xml:space="preserve">22220</x:t>
  </x:si>
  <x:si>
    <x:t xml:space="preserve">Производство пластмассовых упаковок для товаров</x:t>
  </x:si>
  <x:si>
    <x:t xml:space="preserve">190340014681</x:t>
  </x:si>
  <x:si>
    <x:t xml:space="preserve">Товарищество с ограниченной ответственностью "СП ҰЛЫ ДАЛА"</x:t>
  </x:si>
  <x:si>
    <x:t xml:space="preserve">010440001310</x:t>
  </x:si>
  <x:si>
    <x:t xml:space="preserve">Государственное учреждение "Аппарат акима сельского округа Арнасай"</x:t>
  </x:si>
  <x:si>
    <x:t xml:space="preserve">36000</x:t>
  </x:si>
  <x:si>
    <x:t xml:space="preserve">Забор, обработка и распределение воды</x:t>
  </x:si>
  <x:si>
    <x:t xml:space="preserve">070240008718</x:t>
  </x:si>
  <x:si>
    <x:t xml:space="preserve">Государственное комунальное предприятие на праве хозяйственного ведения "Аршалы Су - 2030" при акимате Аршалынского района</x:t>
  </x:si>
  <x:si>
    <x:t xml:space="preserve">931204450028</x:t>
  </x:si>
  <x:si>
    <x:t xml:space="preserve">СВИСТУНОВА ДИАНА КУРМАНБАЕВНА</x:t>
  </x:si>
  <x:si>
    <x:t xml:space="preserve">170440010163</x:t>
  </x:si>
  <x:si>
    <x:t xml:space="preserve">Учреждение "Благотворительное учреждение Аршалы-Жібек Жолы"</x:t>
  </x:si>
  <x:si>
    <x:t xml:space="preserve">77391</x:t>
  </x:si>
  <x:si>
    <x:t xml:space="preserve">Аренда прочих машин, оборудования и материальных активов, не включенных в другие группировки</x:t>
  </x:si>
  <x:si>
    <x:t xml:space="preserve">000340005863</x:t>
  </x:si>
  <x:si>
    <x:t xml:space="preserve">Товарищество с ограниченной ответственностью "КЫРҒЫЗБАЙ-1"</x:t>
  </x:si>
  <x:si>
    <x:t xml:space="preserve">47291</x:t>
  </x:si>
  <x:si>
    <x:t xml:space="preserve">Прочая розничная торговля продуктами питания в специализированных магазинах, являющихся торговыми объектами, с торговой площадью менее 2000 кв.м</x:t>
  </x:si>
  <x:si>
    <x:t xml:space="preserve">691005450143</x:t>
  </x:si>
  <x:si>
    <x:t xml:space="preserve">ТУСПАЕВА СОФИЯ ТУКУНОВНА</x:t>
  </x:si>
  <x:si>
    <x:t xml:space="preserve">Прочая розничная торговля в неспециализированных магазинах, являющихся торговыми объектами, с торговой площадью менее 2000 кв.м</x:t>
  </x:si>
  <x:si>
    <x:t xml:space="preserve">700906450113</x:t>
  </x:si>
  <x:si>
    <x:t xml:space="preserve">АФАНАСЬЕВА ОКСАНА МИХАЙЛОВНА</x:t>
  </x:si>
  <x:si>
    <x:t xml:space="preserve">641127300511</x:t>
  </x:si>
  <x:si>
    <x:t xml:space="preserve">ГИЛЬМУТДИНОВ РИШАТ РАФИСОВИЧ</x:t>
  </x:si>
  <x:si>
    <x:t xml:space="preserve">230240031404</x:t>
  </x:si>
  <x:si>
    <x:t xml:space="preserve">Товарищество с ограниченной ответственностью "Турген Агро"</x:t>
  </x:si>
  <x:si>
    <x:t xml:space="preserve">830329450024</x:t>
  </x:si>
  <x:si>
    <x:t xml:space="preserve">МАЦИПУРИНА ТАТЬЯНА АНАТОЛЬЕВНА</x:t>
  </x:si>
  <x:si>
    <x:t xml:space="preserve">80200</x:t>
  </x:si>
  <x:si>
    <x:t xml:space="preserve">Деятельность в области систем охраны</x:t>
  </x:si>
  <x:si>
    <x:t xml:space="preserve">050140012898</x:t>
  </x:si>
  <x:si>
    <x:t xml:space="preserve">Товарищество с ограниченной ответственностью "Арлан KZ"</x:t>
  </x:si>
  <x:si>
    <x:t xml:space="preserve">140940016581</x:t>
  </x:si>
  <x:si>
    <x:t xml:space="preserve">Товарищество с ограниченной ответственностью "КристаллГрупп"</x:t>
  </x:si>
  <x:si>
    <x:t xml:space="preserve">46736</x:t>
  </x:si>
  <x:si>
    <x:t xml:space="preserve">Оптовая торговля строительными металлическими конструкциями</x:t>
  </x:si>
  <x:si>
    <x:t xml:space="preserve">180340017039</x:t>
  </x:si>
  <x:si>
    <x:t xml:space="preserve">Товарищество с ограниченной ответственностью "Eternal Constructions"</x:t>
  </x:si>
  <x:si>
    <x:t xml:space="preserve">80101</x:t>
  </x:si>
  <x:si>
    <x:t xml:space="preserve">Деятельность частных охранных служб</x:t>
  </x:si>
  <x:si>
    <x:t xml:space="preserve">230540012345</x:t>
  </x:si>
  <x:si>
    <x:t xml:space="preserve">Товарищество с ограниченной ответственностью "Агентство безопасности "IRBIS"</x:t>
  </x:si>
  <x:si>
    <x:t xml:space="preserve">47192</x:t>
  </x:si>
  <x:si>
    <x:t xml:space="preserve">ПРОЧАЯ РОЗНИЧНАЯ ТОРГОВЛЯ В НЕСПЕЦИАЛИЗИРОВАННЫХ МАГАЗИНАХ, ЯВЛЯЮЩИХСЯ ТОРГОВЫМИ ОБЪЕКТАМИ, С ТОРГОВОЙ ПЛОЩАДЬЮ БОЛЕЕ 2000 КВ.М (2000 КВ.М И ВЫШЕ)</x:t>
  </x:si>
  <x:si>
    <x:t xml:space="preserve">780606401238</x:t>
  </x:si>
  <x:si>
    <x:t xml:space="preserve">БУЛАВКИНА АЛЕНА АНАТОЛЬЕВНА</x:t>
  </x:si>
  <x:si>
    <x:t xml:space="preserve">800626300308</x:t>
  </x:si>
  <x:si>
    <x:t xml:space="preserve">ПАСОТЕР СЕРГЕЙ ВЛАДИМИРОВИЧ</x:t>
  </x:si>
  <x:si>
    <x:t xml:space="preserve">Розничная торговля преимущественно продуктами питания, включая напитки и табачными изделиями в неспециализированных магазинах</x:t>
  </x:si>
  <x:si>
    <x:t xml:space="preserve">691215401642</x:t>
  </x:si>
  <x:si>
    <x:t xml:space="preserve">ГОГЕРЧАК ЕЛЕНА ВЛАДИМИРОВНА</x:t>
  </x:si>
  <x:si>
    <x:t xml:space="preserve">45321</x:t>
  </x:si>
  <x:si>
    <x:t xml:space="preserve">Розничная торговля автомобильными деталями, узлами и принадлежностями в торговых объектах с торговой площадью менее 2000 кв.м</x:t>
  </x:si>
  <x:si>
    <x:t xml:space="preserve">880125450054</x:t>
  </x:si>
  <x:si>
    <x:t xml:space="preserve">ЛУЗГИНА АННА ВЛАДИМИРОВНА</x:t>
  </x:si>
  <x:si>
    <x:t xml:space="preserve">010509551571</x:t>
  </x:si>
  <x:si>
    <x:t xml:space="preserve">АЗЯБИН ЮРИЙ АЛЕКСАНДРОВИЧ</x:t>
  </x:si>
  <x:si>
    <x:t xml:space="preserve">030109550295</x:t>
  </x:si>
  <x:si>
    <x:t xml:space="preserve">САРСЕНБЕК МАҒЖАН АРЫСТАНҰЛЫ</x:t>
  </x:si>
  <x:si>
    <x:t xml:space="preserve">040420050038</x:t>
  </x:si>
  <x:si>
    <x:t xml:space="preserve">МУХАММАДСОБИРИ МАХМАДСОДИК</x:t>
  </x:si>
  <x:si>
    <x:t xml:space="preserve">43219</x:t>
  </x:si>
  <x:si>
    <x:t xml:space="preserve">Прочие электротехнические и монтажные работы</x:t>
  </x:si>
  <x:si>
    <x:t xml:space="preserve">050840009417</x:t>
  </x:si>
  <x:si>
    <x:t xml:space="preserve">Товарищество с ограниченной ответственностью "Аршалы Водсервис"</x:t>
  </x:si>
  <x:si>
    <x:t xml:space="preserve">100240021951</x:t>
  </x:si>
  <x:si>
    <x:t xml:space="preserve">Товарищество с ограниченной ответственностью "Габбас"</x:t>
  </x:si>
  <x:si>
    <x:t xml:space="preserve">110240020380</x:t>
  </x:si>
  <x:si>
    <x:t xml:space="preserve">Товарищество с ограниченной ответственностью "СК "Зерен-Эксклюзив"</x:t>
  </x:si>
  <x:si>
    <x:t xml:space="preserve">131040028424</x:t>
  </x:si>
  <x:si>
    <x:t xml:space="preserve">Товарищество с ограниченной ответственностью "МПК Столичный"</x:t>
  </x:si>
  <x:si>
    <x:t xml:space="preserve">131240011279</x:t>
  </x:si>
  <x:si>
    <x:t xml:space="preserve">Товарищество с ограниченной ответственностью "Каменный карьер Тургень-2012"</x:t>
  </x:si>
  <x:si>
    <x:t xml:space="preserve">190940018110</x:t>
  </x:si>
  <x:si>
    <x:t xml:space="preserve">Товарищество с ограниченной ответственностью "Айнур Фарм"</x:t>
  </x:si>
  <x:si>
    <x:t xml:space="preserve">47910</x:t>
  </x:si>
  <x:si>
    <x:t xml:space="preserve">Розничная торговля путем заказа товаров по почте или через сеть интернет</x:t>
  </x:si>
  <x:si>
    <x:t xml:space="preserve">201040011891</x:t>
  </x:si>
  <x:si>
    <x:t xml:space="preserve">Товарищество с ограниченной ответственностью "MyRyBox"</x:t>
  </x:si>
  <x:si>
    <x:t xml:space="preserve">201240025026</x:t>
  </x:si>
  <x:si>
    <x:t xml:space="preserve">Товарищество с ограниченной ответственностью "TRRRI поля"</x:t>
  </x:si>
  <x:si>
    <x:t xml:space="preserve">210840016395</x:t>
  </x:si>
  <x:si>
    <x:t xml:space="preserve">Товарищество с ограниченной ответственностью "Ново-Чудное"</x:t>
  </x:si>
  <x:si>
    <x:t xml:space="preserve">210840031130</x:t>
  </x:si>
  <x:si>
    <x:t xml:space="preserve">Товарищество с ограниченной ответственностью "Kaz Bayram"</x:t>
  </x:si>
  <x:si>
    <x:t xml:space="preserve">25940</x:t>
  </x:si>
  <x:si>
    <x:t xml:space="preserve">Производство крепежных и резьбовых изделий</x:t>
  </x:si>
  <x:si>
    <x:t xml:space="preserve">210940010409</x:t>
  </x:si>
  <x:si>
    <x:t xml:space="preserve">Товарищество с ограниченной ответственностью "КазМетизГрупп"</x:t>
  </x:si>
  <x:si>
    <x:t xml:space="preserve">220840054914</x:t>
  </x:si>
  <x:si>
    <x:t xml:space="preserve">Товарищество с ограниченной ответственностью "BAURUM"</x:t>
  </x:si>
  <x:si>
    <x:t xml:space="preserve">221140018192</x:t>
  </x:si>
  <x:si>
    <x:t xml:space="preserve">Товарищество с ограниченной ответственностью "STT-Агро"</x:t>
  </x:si>
  <x:si>
    <x:t xml:space="preserve">230140009013</x:t>
  </x:si>
  <x:si>
    <x:t xml:space="preserve">Товарищество с ограниченной ответственностью "Agro57"</x:t>
  </x:si>
  <x:si>
    <x:t xml:space="preserve">230740009692</x:t>
  </x:si>
  <x:si>
    <x:t xml:space="preserve">Товарищество с ограниченной ответственностью "РиверПарк"</x:t>
  </x:si>
  <x:si>
    <x:t xml:space="preserve">46130</x:t>
  </x:si>
  <x:si>
    <x:t xml:space="preserve">Деятельность агентов по оптовой торговле древесиной и строительными материалами</x:t>
  </x:si>
  <x:si>
    <x:t xml:space="preserve">230840033031</x:t>
  </x:si>
  <x:si>
    <x:t xml:space="preserve">Товарищество с ограниченной ответственностью "Строй Тех Комплект 2023"</x:t>
  </x:si>
  <x:si>
    <x:t xml:space="preserve">86230</x:t>
  </x:si>
  <x:si>
    <x:t xml:space="preserve">СТОМАТОЛОГИЧЕСКАЯ ДЕЯТЕЛЬНОСТЬ</x:t>
  </x:si>
  <x:si>
    <x:t xml:space="preserve">231140007436</x:t>
  </x:si>
  <x:si>
    <x:t xml:space="preserve">Товарищество с ограниченной ответственностью ""SK DENT KIDS CLINIC""</x:t>
  </x:si>
  <x:si>
    <x:t xml:space="preserve">530202450655</x:t>
  </x:si>
  <x:si>
    <x:t xml:space="preserve">СЫЗДЫКОВА КЛАРА ШУМАНОВНА</x:t>
  </x:si>
  <x:si>
    <x:t xml:space="preserve">680705400138</x:t>
  </x:si>
  <x:si>
    <x:t xml:space="preserve">ВИНОГРАДОВА ЕЛЕНА АЛЕКСАНДРОВНА</x:t>
  </x:si>
  <x:si>
    <x:t xml:space="preserve">680901450407</x:t>
  </x:si>
  <x:si>
    <x:t xml:space="preserve">НИГМАТОВА ЛАРИСА ВИТАЛЬЕВНА</x:t>
  </x:si>
  <x:si>
    <x:t xml:space="preserve">720101450150</x:t>
  </x:si>
  <x:si>
    <x:t xml:space="preserve">АБДЫКАРИМОВА ААЙСУЛУ САРСЕМБАЕВНА</x:t>
  </x:si>
  <x:si>
    <x:t xml:space="preserve">750925350193</x:t>
  </x:si>
  <x:si>
    <x:t xml:space="preserve">ТИМОФЕЕВ АЛЕКСАНДР ВИКТОРОВИЧ</x:t>
  </x:si>
  <x:si>
    <x:t xml:space="preserve">800201300496</x:t>
  </x:si>
  <x:si>
    <x:t xml:space="preserve">ТУСПАЕВ ЕРЛАН МАЛИКАЖДАРОВИЧ</x:t>
  </x:si>
  <x:si>
    <x:t xml:space="preserve">800415400595</x:t>
  </x:si>
  <x:si>
    <x:t xml:space="preserve">КИТАЙБЕКОВА АЛМА ХАМИДОЛЛОВНА</x:t>
  </x:si>
  <x:si>
    <x:t xml:space="preserve">841026351162</x:t>
  </x:si>
  <x:si>
    <x:t xml:space="preserve">ЗАДВОРНЫЙ АЛЕКСЕЙ АЛЕКСАНДРОВИЧ</x:t>
  </x:si>
  <x:si>
    <x:t xml:space="preserve">870103451090</x:t>
  </x:si>
  <x:si>
    <x:t xml:space="preserve">ХАМИТОВА ФИРУЗА РАХИМЖАНОВНА</x:t>
  </x:si>
  <x:si>
    <x:t xml:space="preserve">870403450985</x:t>
  </x:si>
  <x:si>
    <x:t xml:space="preserve">КАЛЕСНИК ОЛЬГА ВАСИЛЬЕВНА</x:t>
  </x:si>
  <x:si>
    <x:t xml:space="preserve">870519450867</x:t>
  </x:si>
  <x:si>
    <x:t xml:space="preserve">РЕШЕТНЯК ЕКАТЕРИНА ВЛАДИМИРОВНА</x:t>
  </x:si>
  <x:si>
    <x:t xml:space="preserve">870918350770</x:t>
  </x:si>
  <x:si>
    <x:t xml:space="preserve">ЕНСЕБАЕВ АЛМАЗ АЙТКАЛИЕВИЧ</x:t>
  </x:si>
  <x:si>
    <x:t xml:space="preserve">950417450324</x:t>
  </x:si>
  <x:si>
    <x:t xml:space="preserve">ВИНОГРАДОВА СВЕТЛАНА СЕРГЕЕВНА</x:t>
  </x:si>
  <x:si>
    <x:t xml:space="preserve">951111350228</x:t>
  </x:si>
  <x:si>
    <x:t xml:space="preserve">ПИТКОВСКИЙ ДЕНИС ВЯЧЕСЛАВОВИЧ</x:t>
  </x:si>
  <x:si>
    <x:t xml:space="preserve">970914450677</x:t>
  </x:si>
  <x:si>
    <x:t xml:space="preserve">СЕРГЕЕВА РЕГИНА ВЛАДИМИРОВНА</x:t>
  </x:si>
  <x:si>
    <x:t xml:space="preserve">981204350209</x:t>
  </x:si>
  <x:si>
    <x:t xml:space="preserve">БАЛЮРА ВЛАДИСЛАВ ВЛАДИМИРОВИЧ</x:t>
  </x:si>
  <x:si>
    <x:t xml:space="preserve">46908</x:t>
  </x:si>
  <x:si>
    <x:t xml:space="preserve">СПЕЦИАЛИЗИРОВАННАЯ ОПТОВАЯ ТОРГОВЛЯ ТОВАРАМИ, НЕ ВКЛЮЧЕННЫМИ В ДРУГИЕ ГРУППИРОВКИ</x:t>
  </x:si>
  <x:si>
    <x:t xml:space="preserve">221140035073</x:t>
  </x:si>
  <x:si>
    <x:t xml:space="preserve">Товарищество с ограниченной ответственностью "MKS Central Asia"</x:t>
  </x:si>
  <x:si>
    <x:t xml:space="preserve">Розничная торговля запасными частями и принадлежностями для автомобилей</x:t>
  </x:si>
  <x:si>
    <x:t xml:space="preserve">890403351237</x:t>
  </x:si>
  <x:si>
    <x:t xml:space="preserve">ЛУЗГИН МАКСИМ ИВАНОВИЧ</x:t>
  </x:si>
  <x:si>
    <x:t xml:space="preserve">Прочая деятельность в области права</x:t>
  </x:si>
  <x:si>
    <x:t xml:space="preserve">660207350127</x:t>
  </x:si>
  <x:si>
    <x:t xml:space="preserve">ТЫШТЫБАЕВ СУЮНДЫК АМАНГЕЛЬДИНОВИЧ</x:t>
  </x:si>
  <x:si>
    <x:t xml:space="preserve">151240018577</x:t>
  </x:si>
  <x:si>
    <x:t xml:space="preserve">Товарищество с ограниченной ответственностью "Сартай-Агро"</x:t>
  </x:si>
  <x:si>
    <x:t xml:space="preserve">821003350214</x:t>
  </x:si>
  <x:si>
    <x:t xml:space="preserve">ЛУЦЕНКО ВЛАДИМИР ПЕТРОВИЧ</x:t>
  </x:si>
  <x:si>
    <x:t xml:space="preserve">43390</x:t>
  </x:si>
  <x:si>
    <x:t xml:space="preserve">ПРОЧИЕ ОТДЕЛОЧНЫЕ РАБОТЫ</x:t>
  </x:si>
  <x:si>
    <x:t xml:space="preserve">230140024815</x:t>
  </x:si>
  <x:si>
    <x:t xml:space="preserve">Товарищество с ограниченной ответственностью "МАГНИТ Т.В."</x:t>
  </x:si>
  <x:si>
    <x:t xml:space="preserve">091041016793</x:t>
  </x:si>
  <x:si>
    <x:t xml:space="preserve">Филиал «Еңбек-Аршалы» республиканского государственного предприятия на праве хозяйственного ведения «Еңбек» учреждений уголовно-исполнительной (пенитенциарной) системы Комитета уголовно-исполнительной системы Министерства внутренних дел Республики Казахстан</x:t>
  </x:si>
  <x:si>
    <x:t xml:space="preserve">770726400191</x:t>
  </x:si>
  <x:si>
    <x:t xml:space="preserve">КАБЖАНОВА ГУЛЬЖАН АМАНГЕЛЬДИНОВНА</x:t>
  </x:si>
  <x:si>
    <x:t xml:space="preserve">111240020620</x:t>
  </x:si>
  <x:si>
    <x:t xml:space="preserve">Товарищество с ограниченной ответственностью "ТНС-Агро"</x:t>
  </x:si>
  <x:si>
    <x:t xml:space="preserve">180740010275</x:t>
  </x:si>
  <x:si>
    <x:t xml:space="preserve">Товарищество с ограниченной ответственностью "Алмажай"</x:t>
  </x:si>
  <x:si>
    <x:t xml:space="preserve">Прочие виды розничной торговли продуктами питания в специализированных магазинах</x:t>
  </x:si>
  <x:si>
    <x:t xml:space="preserve">720304401007</x:t>
  </x:si>
  <x:si>
    <x:t xml:space="preserve">ТАЛТАКОВА ГУЛЯ ТОЛЕУОВНА</x:t>
  </x:si>
  <x:si>
    <x:t xml:space="preserve">850116450921</x:t>
  </x:si>
  <x:si>
    <x:t xml:space="preserve">ТУСПАЕВА АЛМАГУЛЬ СЕРГАЗЫЕВНА</x:t>
  </x:si>
  <x:si>
    <x:t xml:space="preserve">43999</x:t>
  </x:si>
  <x:si>
    <x:t xml:space="preserve">Прочие строительные работы, требующие специальной квалификации</x:t>
  </x:si>
  <x:si>
    <x:t xml:space="preserve">240440028042</x:t>
  </x:si>
  <x:si>
    <x:t xml:space="preserve">Товарищество с ограниченной ответственностью "KAIRUS"</x:t>
  </x:si>
  <x:si>
    <x:t xml:space="preserve">711124301261</x:t>
  </x:si>
  <x:si>
    <x:t xml:space="preserve">ХВАН ЕВГЕНИЙ УНСИЕВИЧ</x:t>
  </x:si>
  <x:si>
    <x:t xml:space="preserve">Образование в области культуры</x:t>
  </x:si>
  <x:si>
    <x:t xml:space="preserve">240540019384</x:t>
  </x:si>
  <x:si>
    <x:t xml:space="preserve">Товарищество с ограниченной ответственностью "BilgenAI"</x:t>
  </x:si>
  <x:si>
    <x:t xml:space="preserve">111040014619</x:t>
  </x:si>
  <x:si>
    <x:t xml:space="preserve">Товарищество с ограниченной ответственностью "Аршалы-агро өнімдері"</x:t>
  </x:si>
  <x:si>
    <x:t xml:space="preserve">240340010214</x:t>
  </x:si>
  <x:si>
    <x:t xml:space="preserve">Товарищество с ограниченной ответственностью "Стимул_kz 2024"</x:t>
  </x:si>
  <x:si>
    <x:t xml:space="preserve">46690</x:t>
  </x:si>
  <x:si>
    <x:t xml:space="preserve">Оптовая торговля прочими машинами и оборудованием</x:t>
  </x:si>
  <x:si>
    <x:t xml:space="preserve">220340016100</x:t>
  </x:si>
  <x:si>
    <x:t xml:space="preserve">Товарищество с ограниченной ответственностью "FENRIR Co."</x:t>
  </x:si>
  <x:si>
    <x:t xml:space="preserve">160640021607</x:t>
  </x:si>
  <x:si>
    <x:t xml:space="preserve">Товарищество с ограниченной ответственностью "ЭКО COMFORT"</x:t>
  </x:si>
  <x:si>
    <x:t xml:space="preserve">071040011644</x:t>
  </x:si>
  <x:si>
    <x:t xml:space="preserve">Товарищество с ограниченной ответственностью "SG Песчаный карьер"</x:t>
  </x:si>
  <x:si>
    <x:t xml:space="preserve">56291</x:t>
  </x:si>
  <x:si>
    <x:t xml:space="preserve">Прочие виды организации питания вне населенных пунктов</x:t>
  </x:si>
  <x:si>
    <x:t xml:space="preserve">820327402091</x:t>
  </x:si>
  <x:si>
    <x:t xml:space="preserve">ЛИ АЛЕКСАНДРА ШИХАПОВНА</x:t>
  </x:si>
  <x:si>
    <x:t xml:space="preserve">000140000220</x:t>
  </x:si>
  <x:si>
    <x:t xml:space="preserve">Товарищество с ограниченной ответственностью "РУНАР"</x:t>
  </x:si>
  <x:si>
    <x:t xml:space="preserve">010418650189</x:t>
  </x:si>
  <x:si>
    <x:t xml:space="preserve">НҰРТАЙ ТОҒЖАН НҰРТАЙҚЫЗЫ</x:t>
  </x:si>
  <x:si>
    <x:t xml:space="preserve">23612</x:t>
  </x:si>
  <x:si>
    <x:t xml:space="preserve">Производство стеновых блоков</x:t>
  </x:si>
  <x:si>
    <x:t xml:space="preserve">011240001861</x:t>
  </x:si>
  <x:si>
    <x:t xml:space="preserve">Товарищество с ограниченной ответственностью "Кастром"</x:t>
  </x:si>
  <x:si>
    <x:t xml:space="preserve">020240007874</x:t>
  </x:si>
  <x:si>
    <x:t xml:space="preserve">Товарищество с ограниченной ответственностью "Tamyr 2024"</x:t>
  </x:si>
  <x:si>
    <x:t xml:space="preserve">Добыча декоративного и строительного камня</x:t>
  </x:si>
  <x:si>
    <x:t xml:space="preserve">020740003390</x:t>
  </x:si>
  <x:si>
    <x:t xml:space="preserve">Товарищество с ограниченной ответственностью "Интекс СТ"</x:t>
  </x:si>
  <x:si>
    <x:t xml:space="preserve">021122550138</x:t>
  </x:si>
  <x:si>
    <x:t xml:space="preserve">ШУЛЕМБАЕВ АМИР-МУРАТ АЙДАРОВИЧ</x:t>
  </x:si>
  <x:si>
    <x:t xml:space="preserve">030204500166</x:t>
  </x:si>
  <x:si>
    <x:t xml:space="preserve">ОТАРБАЙ ТАЛАНТ ЕРҒАЛИҰЛЫ</x:t>
  </x:si>
  <x:si>
    <x:t xml:space="preserve">031201550268</x:t>
  </x:si>
  <x:si>
    <x:t xml:space="preserve">ЛИ КОНСТАНТИН ВАДИМОВИЧ</x:t>
  </x:si>
  <x:si>
    <x:t xml:space="preserve">041029650549</x:t>
  </x:si>
  <x:si>
    <x:t xml:space="preserve">НҰРАСЫЛ АЯУЛЫМ</x:t>
  </x:si>
  <x:si>
    <x:t xml:space="preserve">041240005186</x:t>
  </x:si>
  <x:si>
    <x:t xml:space="preserve">Товарищество с ограниченной ответственностью "САРЫ-ОБА АСТЫК"</x:t>
  </x:si>
  <x:si>
    <x:t xml:space="preserve">050341029548</x:t>
  </x:si>
  <x:si>
    <x:t xml:space="preserve">филиал товарищества с ограниченной ответственностью "SC TRADE"</x:t>
  </x:si>
  <x:si>
    <x:t xml:space="preserve">050540009387</x:t>
  </x:si>
  <x:si>
    <x:t xml:space="preserve">Товарищество с ограниченной ответственностью "Норд Строй-2005"</x:t>
  </x:si>
  <x:si>
    <x:t xml:space="preserve">52101</x:t>
  </x:si>
  <x:si>
    <x:t xml:space="preserve">СКЛАДИРОВАНИЕ И ХРАНЕНИЕ ЗЕРНА</x:t>
  </x:si>
  <x:si>
    <x:t xml:space="preserve">050940010692</x:t>
  </x:si>
  <x:si>
    <x:t xml:space="preserve">Товарищество с ограниченной ответственностью "Мельнично-Макаронный Комбинат "Аян"</x:t>
  </x:si>
  <x:si>
    <x:t xml:space="preserve">051040004063</x:t>
  </x:si>
  <x:si>
    <x:t xml:space="preserve">Религиозное объединение Римско-Католический Приход "Святого Пасхалия"</x:t>
  </x:si>
  <x:si>
    <x:t xml:space="preserve">060340017590</x:t>
  </x:si>
  <x:si>
    <x:t xml:space="preserve">Товарищество с ограниченной ответственностью "Су Арка-Сервис"</x:t>
  </x:si>
  <x:si>
    <x:t xml:space="preserve">Оптовая торговля металлическими изделиями, водопроводным и отопительным оборудованием и инвентарем</x:t>
  </x:si>
  <x:si>
    <x:t xml:space="preserve">060540007769</x:t>
  </x:si>
  <x:si>
    <x:t xml:space="preserve">Товарищество с ограниченной ответственностью "Ормис-Казахстан"</x:t>
  </x:si>
  <x:si>
    <x:t xml:space="preserve">68312</x:t>
  </x:si>
  <x:si>
    <x:t xml:space="preserve">Посреднические услуги при купле-продаже и сдаче внаем жилья и другого недвижимого имущества непроизводственного назначения</x:t>
  </x:si>
  <x:si>
    <x:t xml:space="preserve">060740002814</x:t>
  </x:si>
  <x:si>
    <x:t xml:space="preserve">Товарищество с ограниченной ответственностью "Айна Комфорт СН"</x:t>
  </x:si>
  <x:si>
    <x:t xml:space="preserve">71112</x:t>
  </x:si>
  <x:si>
    <x:t xml:space="preserve">Деятельность в области архитектуры, за исключением объектов атомной промышленности и атомной энергетики</x:t>
  </x:si>
  <x:si>
    <x:t xml:space="preserve">061040004273</x:t>
  </x:si>
  <x:si>
    <x:t xml:space="preserve">Товарищество с ограниченной ответственностью "Аршалы сәулеті"</x:t>
  </x:si>
  <x:si>
    <x:t xml:space="preserve">061140017734</x:t>
  </x:si>
  <x:si>
    <x:t xml:space="preserve">Товарищество с ограниченной ответственностью "Ақмола тастары"</x:t>
  </x:si>
  <x:si>
    <x:t xml:space="preserve">070140013532</x:t>
  </x:si>
  <x:si>
    <x:t xml:space="preserve">Товарищество с ограниченной ответственностью "Астана Жер 2007"</x:t>
  </x:si>
  <x:si>
    <x:t xml:space="preserve">070240021725</x:t>
  </x:si>
  <x:si>
    <x:t xml:space="preserve">Общественный фонд "Намыс"</x:t>
  </x:si>
  <x:si>
    <x:t xml:space="preserve">070940011654</x:t>
  </x:si>
  <x:si>
    <x:t xml:space="preserve">Товарищество с ограниченной ответственностью "Аршалы-СельхозИнвест"</x:t>
  </x:si>
  <x:si>
    <x:t xml:space="preserve">Прочая розничная торговля не в магазинах</x:t>
  </x:si>
  <x:si>
    <x:t xml:space="preserve">071040001371</x:t>
  </x:si>
  <x:si>
    <x:t xml:space="preserve">Товарищество с ограниченной ответственностью "Вишневка Строй"</x:t>
  </x:si>
  <x:si>
    <x:t xml:space="preserve">71122</x:t>
  </x:si>
  <x:si>
    <x:t xml:space="preserve">Деятельность по проведению геологической разведки и изысканий (без научных исследований и разработок)</x:t>
  </x:si>
  <x:si>
    <x:t xml:space="preserve">071140007868</x:t>
  </x:si>
  <x:si>
    <x:t xml:space="preserve">Товарищество с ограниченной ответственностью "SK-Техноиндустрия"</x:t>
  </x:si>
  <x:si>
    <x:t xml:space="preserve">080940008854</x:t>
  </x:si>
  <x:si>
    <x:t xml:space="preserve">Товарищество с ограниченной ответственностью"Capital Trust" (Капитал Траст)</x:t>
  </x:si>
  <x:si>
    <x:t xml:space="preserve">86909</x:t>
  </x:si>
  <x:si>
    <x:t xml:space="preserve">ПРОЧАЯ ДЕЯТЕЛЬНОСТЬ В ОБЛАСТИ ЗДРАВООХРАНЕНИЯ, НЕ ВКЛЮЧЕННАЯ В ДРУГИЕ ГРУППИРОВКИ</x:t>
  </x:si>
  <x:si>
    <x:t xml:space="preserve">081140016571</x:t>
  </x:si>
  <x:si>
    <x:t xml:space="preserve">Товарищество с ограниченной ответственностью "АсКай"</x:t>
  </x:si>
  <x:si>
    <x:t xml:space="preserve">081240017860</x:t>
  </x:si>
  <x:si>
    <x:t xml:space="preserve">Общественный Фонд "Өмір"</x:t>
  </x:si>
  <x:si>
    <x:t xml:space="preserve">090240021947</x:t>
  </x:si>
  <x:si>
    <x:t xml:space="preserve">Общественный Фонд "Сұңқар-2009"</x:t>
  </x:si>
  <x:si>
    <x:t xml:space="preserve">091040016301</x:t>
  </x:si>
  <x:si>
    <x:t xml:space="preserve">Товарищество с ограниченной ответственностью "АРМАН Сервис НС"</x:t>
  </x:si>
  <x:si>
    <x:t xml:space="preserve">46310</x:t>
  </x:si>
  <x:si>
    <x:t xml:space="preserve">Оптовая торговля фруктами и овощами</x:t>
  </x:si>
  <x:si>
    <x:t xml:space="preserve">100540003469</x:t>
  </x:si>
  <x:si>
    <x:t xml:space="preserve">Товарищество с ограниченной ответственностью "Аршалы-Заготпром"</x:t>
  </x:si>
  <x:si>
    <x:t xml:space="preserve">100640007594</x:t>
  </x:si>
  <x:si>
    <x:t xml:space="preserve">Товарищество с ограниченной ответственностью "Little-People"</x:t>
  </x:si>
  <x:si>
    <x:t xml:space="preserve">101040015863</x:t>
  </x:si>
  <x:si>
    <x:t xml:space="preserve">Товарищество с ограниченной ответственностью "Тройка-Диалог Плюс"</x:t>
  </x:si>
  <x:si>
    <x:t xml:space="preserve">Разведение прочих пород крупного рогатого скота для получения мяса</x:t>
  </x:si>
  <x:si>
    <x:t xml:space="preserve">120640018652</x:t>
  </x:si>
  <x:si>
    <x:t xml:space="preserve">Товарищество с ограниченной ответственностью "Elite Meat"</x:t>
  </x:si>
  <x:si>
    <x:t xml:space="preserve">10511</x:t>
  </x:si>
  <x:si>
    <x:t xml:space="preserve">Переработка молока, кроме консервирования, и производство сыров</x:t>
  </x:si>
  <x:si>
    <x:t xml:space="preserve">120940015946</x:t>
  </x:si>
  <x:si>
    <x:t xml:space="preserve">Товарищество с ограниченной ответственностью "КапиталНатурПродукт"</x:t>
  </x:si>
  <x:si>
    <x:t xml:space="preserve">22210</x:t>
  </x:si>
  <x:si>
    <x:t xml:space="preserve">Производство пластмассовых листов, камер для шин и профилей</x:t>
  </x:si>
  <x:si>
    <x:t xml:space="preserve">121240010040</x:t>
  </x:si>
  <x:si>
    <x:t xml:space="preserve">Товарищество с ограниченной ответственностью "Astana Polimer PV"</x:t>
  </x:si>
  <x:si>
    <x:t xml:space="preserve">52103</x:t>
  </x:si>
  <x:si>
    <x:t xml:space="preserve">Складирование и хранение продовольственных товаров</x:t>
  </x:si>
  <x:si>
    <x:t xml:space="preserve">130140019793</x:t>
  </x:si>
  <x:si>
    <x:t xml:space="preserve">Товарищество с ограниченной ответственностью "AR-SERVICE EXPO 2017"</x:t>
  </x:si>
  <x:si>
    <x:t xml:space="preserve">130240010852</x:t>
  </x:si>
  <x:si>
    <x:t xml:space="preserve">Общественный Фонд "АГРО ГРИН"</x:t>
  </x:si>
  <x:si>
    <x:t xml:space="preserve">130440006861</x:t>
  </x:si>
  <x:si>
    <x:t xml:space="preserve">Товарищество с ограниченной ответственностью "SG Brick"</x:t>
  </x:si>
  <x:si>
    <x:t xml:space="preserve">46190</x:t>
  </x:si>
  <x:si>
    <x:t xml:space="preserve">Деятельность агентов по торговле товарами широкого ассортимента</x:t>
  </x:si>
  <x:si>
    <x:t xml:space="preserve">131140001347</x:t>
  </x:si>
  <x:si>
    <x:t xml:space="preserve">Товарищество с ограниченной ответственностью "Bosom"</x:t>
  </x:si>
  <x:si>
    <x:t xml:space="preserve">131140008344</x:t>
  </x:si>
  <x:si>
    <x:t xml:space="preserve">Товарищество с ограниченной ответственностью "Жасыл Тас Expo"</x:t>
  </x:si>
  <x:si>
    <x:t xml:space="preserve">131240006748</x:t>
  </x:si>
  <x:si>
    <x:t xml:space="preserve">Товарищество с ограниченной ответственностью "AG AGRO KZ"</x:t>
  </x:si>
  <x:si>
    <x:t xml:space="preserve">140640009518</x:t>
  </x:si>
  <x:si>
    <x:t xml:space="preserve">Товарищество с ограниченной ответственностью "Аршалы-Неруд"</x:t>
  </x:si>
  <x:si>
    <x:t xml:space="preserve">140740015893</x:t>
  </x:si>
  <x:si>
    <x:t xml:space="preserve">Товарищество с ограниченной ответственностью "Аршалы-АгроКомбинат"</x:t>
  </x:si>
  <x:si>
    <x:t xml:space="preserve">32999</x:t>
  </x:si>
  <x:si>
    <x:t xml:space="preserve">Производство прочих изделий</x:t>
  </x:si>
  <x:si>
    <x:t xml:space="preserve">140940022437</x:t>
  </x:si>
  <x:si>
    <x:t xml:space="preserve">Товарищество с ограниченной ответственностью "Қазақстан Көркем Комбинаты "КазАрт"</x:t>
  </x:si>
  <x:si>
    <x:t xml:space="preserve">141040001931</x:t>
  </x:si>
  <x:si>
    <x:t xml:space="preserve">Товарищество с ограниченной ответственностью "ТОО "Аршалы-Астық"</x:t>
  </x:si>
  <x:si>
    <x:t xml:space="preserve">141041008774</x:t>
  </x:si>
  <x:si>
    <x:t xml:space="preserve">Филиал Республиканского общественного объединения "Казахстанская федерация авиационного спорта" в Акмолинской области</x:t>
  </x:si>
  <x:si>
    <x:t xml:space="preserve">150340017807</x:t>
  </x:si>
  <x:si>
    <x:t xml:space="preserve">Товарищество с ограниченной ответственностью "Ак-Дала Агро"</x:t>
  </x:si>
  <x:si>
    <x:t xml:space="preserve">150440017197</x:t>
  </x:si>
  <x:si>
    <x:t xml:space="preserve">Общественное объединение "Аршалы Үміті"</x:t>
  </x:si>
  <x:si>
    <x:t xml:space="preserve">150840006295</x:t>
  </x:si>
  <x:si>
    <x:t xml:space="preserve">Товарищество с ограниченной ответственностью "Vector Construction"</x:t>
  </x:si>
  <x:si>
    <x:t xml:space="preserve">49420</x:t>
  </x:si>
  <x:si>
    <x:t xml:space="preserve">Услуги по перевозкам</x:t>
  </x:si>
  <x:si>
    <x:t xml:space="preserve">160240014197</x:t>
  </x:si>
  <x:si>
    <x:t xml:space="preserve">Товарищество с ограниченной ответственностью "МИРАС КОМПАНИИ"</x:t>
  </x:si>
  <x:si>
    <x:t xml:space="preserve">Складирование и хранение продовольственных товаров, кроме овощей и фруктов</x:t>
  </x:si>
  <x:si>
    <x:t xml:space="preserve">160340025592</x:t>
  </x:si>
  <x:si>
    <x:t xml:space="preserve">Товарищество с ограниченной ответственностью "Жибек Жолы Агросервис"</x:t>
  </x:si>
  <x:si>
    <x:t xml:space="preserve">160540019268</x:t>
  </x:si>
  <x:si>
    <x:t xml:space="preserve">Товарищество с ограниченной ответственностью "Карьер-Мир 3"</x:t>
  </x:si>
  <x:si>
    <x:t xml:space="preserve">01410</x:t>
  </x:si>
  <x:si>
    <x:t xml:space="preserve">Разведение крупного рогатого скота молочного направления</x:t>
  </x:si>
  <x:si>
    <x:t xml:space="preserve">160840016680</x:t>
  </x:si>
  <x:si>
    <x:t xml:space="preserve">Товарищество с ограниченной ответственностью "Есенгарт"</x:t>
  </x:si>
  <x:si>
    <x:t xml:space="preserve">52291</x:t>
  </x:si>
  <x:si>
    <x:t xml:space="preserve">Транспортно-экспедиционные  услуги</x:t>
  </x:si>
  <x:si>
    <x:t xml:space="preserve">160940020980</x:t>
  </x:si>
  <x:si>
    <x:t xml:space="preserve">Товарищество с ограниченной ответственностью "Logistic Traiding Company "</x:t>
  </x:si>
  <x:si>
    <x:t xml:space="preserve">161041026568</x:t>
  </x:si>
  <x:si>
    <x:t xml:space="preserve">Аршалынский Филиал Регионального общественного объединения "Союз казаков Степного края (СКСК)"</x:t>
  </x:si>
  <x:si>
    <x:t xml:space="preserve">161140011578</x:t>
  </x:si>
  <x:si>
    <x:t xml:space="preserve">Товарищество с ограниченной ответственностью "BNB-Agro"</x:t>
  </x:si>
  <x:si>
    <x:t xml:space="preserve">161141006696</x:t>
  </x:si>
  <x:si>
    <x:t xml:space="preserve">Товарищество с ограниченной ответственностью "СпецТреидТМ"</x:t>
  </x:si>
  <x:si>
    <x:t xml:space="preserve">161241024846</x:t>
  </x:si>
  <x:si>
    <x:t xml:space="preserve">Аршалынский районный филиал Республиканского общественного объединения "Организация ветеранов"</x:t>
  </x:si>
  <x:si>
    <x:t xml:space="preserve">170340022748</x:t>
  </x:si>
  <x:si>
    <x:t xml:space="preserve">Товарищество с ограниченной ответственностью "Дарья-2017"</x:t>
  </x:si>
  <x:si>
    <x:t xml:space="preserve">170540007355</x:t>
  </x:si>
  <x:si>
    <x:t xml:space="preserve">Товарищество с ограниченной ответственностью "Айтұмар Security-1"</x:t>
  </x:si>
  <x:si>
    <x:t xml:space="preserve">170540027280</x:t>
  </x:si>
  <x:si>
    <x:t xml:space="preserve">Товарищество с ограниченной ответственностью "Булаксай"</x:t>
  </x:si>
  <x:si>
    <x:t xml:space="preserve">170740018151</x:t>
  </x:si>
  <x:si>
    <x:t xml:space="preserve">Сельскохозяйственный производственный кооператив "Константиновка"</x:t>
  </x:si>
  <x:si>
    <x:t xml:space="preserve">171140006058</x:t>
  </x:si>
  <x:si>
    <x:t xml:space="preserve">Товарищество с ограниченной ответственностью "Достык Нан-2017"</x:t>
  </x:si>
  <x:si>
    <x:t xml:space="preserve">171240016227</x:t>
  </x:si>
  <x:si>
    <x:t xml:space="preserve">Товарищество с ограниченной ответственностью "АЛАС - 2017"</x:t>
  </x:si>
  <x:si>
    <x:t xml:space="preserve">03120</x:t>
  </x:si>
  <x:si>
    <x:t xml:space="preserve">Пресноводное рыболовство</x:t>
  </x:si>
  <x:si>
    <x:t xml:space="preserve">180340006074</x:t>
  </x:si>
  <x:si>
    <x:t xml:space="preserve">Товарищество с ограниченной ответственностью "Платина Родники"</x:t>
  </x:si>
  <x:si>
    <x:t xml:space="preserve">180440028663</x:t>
  </x:si>
  <x:si>
    <x:t xml:space="preserve">Благотворительный фонд "Ақниет Аршалы"</x:t>
  </x:si>
  <x:si>
    <x:t xml:space="preserve">180640029381</x:t>
  </x:si>
  <x:si>
    <x:t xml:space="preserve">Товарищество с ограниченной ответственностью "STONE 2018"</x:t>
  </x:si>
  <x:si>
    <x:t xml:space="preserve">181040012853</x:t>
  </x:si>
  <x:si>
    <x:t xml:space="preserve">Товарищество с ограниченной ответственностью "Сельскохозяйственная компания ТТТ"</x:t>
  </x:si>
  <x:si>
    <x:t xml:space="preserve">181140017560</x:t>
  </x:si>
  <x:si>
    <x:t xml:space="preserve">Товарищество с ограниченной ответственностью "Ah Tan"</x:t>
  </x:si>
  <x:si>
    <x:t xml:space="preserve">52213</x:t>
  </x:si>
  <x:si>
    <x:t xml:space="preserve">Услуги терминалов</x:t>
  </x:si>
  <x:si>
    <x:t xml:space="preserve">190240011960</x:t>
  </x:si>
  <x:si>
    <x:t xml:space="preserve">Товарищество с ограниченной ответственностью "«Аршалы Транзит»"</x:t>
  </x:si>
  <x:si>
    <x:t xml:space="preserve">65122</x:t>
  </x:si>
  <x:si>
    <x:t xml:space="preserve">Негосударственное страхование ущерба</x:t>
  </x:si>
  <x:si>
    <x:t xml:space="preserve">190340028969</x:t>
  </x:si>
  <x:si>
    <x:t xml:space="preserve">Товарищество с ограниченной ответственностью ""Феникс Л""</x:t>
  </x:si>
  <x:si>
    <x:t xml:space="preserve">Разведение молочных пород скота</x:t>
  </x:si>
  <x:si>
    <x:t xml:space="preserve">190440004172</x:t>
  </x:si>
  <x:si>
    <x:t xml:space="preserve">Товарищество с ограниченной ответственностью "БЕЛАВИН"</x:t>
  </x:si>
  <x:si>
    <x:t xml:space="preserve">190440040931</x:t>
  </x:si>
  <x:si>
    <x:t xml:space="preserve">Товарищество с ограниченной ответственностью "Керей-Алыбай"</x:t>
  </x:si>
  <x:si>
    <x:t xml:space="preserve">68321</x:t>
  </x:si>
  <x:si>
    <x:t xml:space="preserve">Управление недвижимостью за вознаграждение или на договорной основе</x:t>
  </x:si>
  <x:si>
    <x:t xml:space="preserve">190540030294</x:t>
  </x:si>
  <x:si>
    <x:t xml:space="preserve">Потребительский кооператив "АЛТЫН ҰЯ"</x:t>
  </x:si>
  <x:si>
    <x:t xml:space="preserve">191040029825</x:t>
  </x:si>
  <x:si>
    <x:t xml:space="preserve">Товарищество с ограниченной ответственностью "Жан-Уя 2019"</x:t>
  </x:si>
  <x:si>
    <x:t xml:space="preserve">191040033411</x:t>
  </x:si>
  <x:si>
    <x:t xml:space="preserve">Товарищество с ограниченной ответственностью "ТАС-ГРУППЕ"</x:t>
  </x:si>
  <x:si>
    <x:t xml:space="preserve">191240023729</x:t>
  </x:si>
  <x:si>
    <x:t xml:space="preserve">Товарищество с ограниченной ответственностью "М-РАДА"</x:t>
  </x:si>
  <x:si>
    <x:t xml:space="preserve">191240023779</x:t>
  </x:si>
  <x:si>
    <x:t xml:space="preserve">Товарищество с ограниченной ответственностью "КОМПАНИЯ КДС"</x:t>
  </x:si>
  <x:si>
    <x:t xml:space="preserve">03220</x:t>
  </x:si>
  <x:si>
    <x:t xml:space="preserve">Пресноводное рыбоводство</x:t>
  </x:si>
  <x:si>
    <x:t xml:space="preserve">200240012041</x:t>
  </x:si>
  <x:si>
    <x:t xml:space="preserve">Товарищество с ограниченной ответственностью "Рыбное-1"</x:t>
  </x:si>
  <x:si>
    <x:t xml:space="preserve">200240012091</x:t>
  </x:si>
  <x:si>
    <x:t xml:space="preserve">Товарищество с ограниченной ответственностью "Товарищи"</x:t>
  </x:si>
  <x:si>
    <x:t xml:space="preserve">200740027216</x:t>
  </x:si>
  <x:si>
    <x:t xml:space="preserve">Товарищество с ограниченной ответственностью "Канадыр"</x:t>
  </x:si>
  <x:si>
    <x:t xml:space="preserve">38323</x:t>
  </x:si>
  <x:si>
    <x:t xml:space="preserve">Переработка неметаллических отходов</x:t>
  </x:si>
  <x:si>
    <x:t xml:space="preserve">200840010403</x:t>
  </x:si>
  <x:si>
    <x:t xml:space="preserve">Товарищество с ограниченной ответственностью "Winterfell"</x:t>
  </x:si>
  <x:si>
    <x:t xml:space="preserve">Складирование и хранение зерна</x:t>
  </x:si>
  <x:si>
    <x:t xml:space="preserve">200840014852</x:t>
  </x:si>
  <x:si>
    <x:t xml:space="preserve">Товарищество с ограниченной ответственностью "АкБидай 2020"</x:t>
  </x:si>
  <x:si>
    <x:t xml:space="preserve">200940021620</x:t>
  </x:si>
  <x:si>
    <x:t xml:space="preserve">Товарищество с ограниченной ответственностью "ОВХК"</x:t>
  </x:si>
  <x:si>
    <x:t xml:space="preserve">200940025970</x:t>
  </x:si>
  <x:si>
    <x:t xml:space="preserve">Товарищество с ограниченной ответственностью "СитиЭкоФарм"</x:t>
  </x:si>
  <x:si>
    <x:t xml:space="preserve">201140036038</x:t>
  </x:si>
  <x:si>
    <x:t xml:space="preserve">Товарищество с ограниченной ответственностью "Мегер КМК"</x:t>
  </x:si>
  <x:si>
    <x:t xml:space="preserve">201140036197</x:t>
  </x:si>
  <x:si>
    <x:t xml:space="preserve">Товарищество с ограниченной ответственностью "Балык Л"</x:t>
  </x:si>
  <x:si>
    <x:t xml:space="preserve">201140036226</x:t>
  </x:si>
  <x:si>
    <x:t xml:space="preserve">Товарищество с ограниченной ответственностью "Балык А"</x:t>
  </x:si>
  <x:si>
    <x:t xml:space="preserve">201140036256</x:t>
  </x:si>
  <x:si>
    <x:t xml:space="preserve">Товарищество с ограниченной ответственностью "Мигер КМК"</x:t>
  </x:si>
  <x:si>
    <x:t xml:space="preserve">201142032735</x:t>
  </x:si>
  <x:si>
    <x:t xml:space="preserve">Представительство Товарищество с ограниченной ответственностью "Gard-M" по Акмолинской области</x:t>
  </x:si>
  <x:si>
    <x:t xml:space="preserve">201240002740</x:t>
  </x:si>
  <x:si>
    <x:t xml:space="preserve">Товарищество с ограниченной ответственностью ""TRRRI озера"</x:t>
  </x:si>
  <x:si>
    <x:t xml:space="preserve">27120</x:t>
  </x:si>
  <x:si>
    <x:t xml:space="preserve">Производство электрораспределительной и регулирующей аппаратуры</x:t>
  </x:si>
  <x:si>
    <x:t xml:space="preserve">201240008294</x:t>
  </x:si>
  <x:si>
    <x:t xml:space="preserve">Товарищество с ограниченной ответственностью ""Завод "Qazaq Energy""</x:t>
  </x:si>
  <x:si>
    <x:t xml:space="preserve">201240011775</x:t>
  </x:si>
  <x:si>
    <x:t xml:space="preserve">Товарищество с ограниченной ответственностью "РИВЛ"</x:t>
  </x:si>
  <x:si>
    <x:t xml:space="preserve">01131</x:t>
  </x:si>
  <x:si>
    <x:t xml:space="preserve">Выращивание картофеля и посадочного материала</x:t>
  </x:si>
  <x:si>
    <x:t xml:space="preserve">210540011076</x:t>
  </x:si>
  <x:si>
    <x:t xml:space="preserve">Товарищество с ограниченной ответственностью "ОАЗИС-А"</x:t>
  </x:si>
  <x:si>
    <x:t xml:space="preserve">210640007715</x:t>
  </x:si>
  <x:si>
    <x:t xml:space="preserve">Товарищество с ограниченной ответственностью "Торговый дом Акбулак Агро"</x:t>
  </x:si>
  <x:si>
    <x:t xml:space="preserve">210840023398</x:t>
  </x:si>
  <x:si>
    <x:t xml:space="preserve">Товарищество с ограниченной ответственностью "Баянбай-Агро"</x:t>
  </x:si>
  <x:si>
    <x:t xml:space="preserve">211040014491</x:t>
  </x:si>
  <x:si>
    <x:t xml:space="preserve">Товарищество с ограниченной ответственностью "Товарищества с ограниченной ответственностью "Ольгинское Агро""</x:t>
  </x:si>
  <x:si>
    <x:t xml:space="preserve">ТРАНСПОРТНО-ЭКСПЕДИЦИОННЫЕ  УСЛУГИ</x:t>
  </x:si>
  <x:si>
    <x:t xml:space="preserve">211040025122</x:t>
  </x:si>
  <x:si>
    <x:t xml:space="preserve">Товарищество с ограниченной ответственностью "LOGISTO"</x:t>
  </x:si>
  <x:si>
    <x:t xml:space="preserve">211140022129</x:t>
  </x:si>
  <x:si>
    <x:t xml:space="preserve">Товарищество с ограниченной ответственностью "Мынбай Агро"</x:t>
  </x:si>
  <x:si>
    <x:t xml:space="preserve">220240023080</x:t>
  </x:si>
  <x:si>
    <x:t xml:space="preserve">Товарищество с ограниченной ответственностью "Дополнительный образовательный центр "Skill Box""</x:t>
  </x:si>
  <x:si>
    <x:t xml:space="preserve">220340019849</x:t>
  </x:si>
  <x:si>
    <x:t xml:space="preserve">Товарищество с ограниченной ответственностью "Инжиниринг сервис 2022"</x:t>
  </x:si>
  <x:si>
    <x:t xml:space="preserve">46753</x:t>
  </x:si>
  <x:si>
    <x:t xml:space="preserve">ОПТОВАЯ ТОРГОВЛЯ МИНЕРАЛЬНЫМИ УДОБРЕНИЯМИ</x:t>
  </x:si>
  <x:si>
    <x:t xml:space="preserve">220440052577</x:t>
  </x:si>
  <x:si>
    <x:t xml:space="preserve">Товарищество с ограниченной ответственностью "Сельхоз-САВ"</x:t>
  </x:si>
  <x:si>
    <x:t xml:space="preserve">ПРОИЗВОДСТВО СТЕНОВЫХ БЛОКОВ</x:t>
  </x:si>
  <x:si>
    <x:t xml:space="preserve">220540015506</x:t>
  </x:si>
  <x:si>
    <x:t xml:space="preserve">Товарищество с ограниченной ответственностью "ZhasTol-Stroy"</x:t>
  </x:si>
  <x:si>
    <x:t xml:space="preserve">220540041317</x:t>
  </x:si>
  <x:si>
    <x:t xml:space="preserve">Частный Фонд "Жұмабек Ташенев атындағы"</x:t>
  </x:si>
  <x:si>
    <x:t xml:space="preserve">220842045143</x:t>
  </x:si>
  <x:si>
    <x:t xml:space="preserve">Аршалынское районное представительство Акмолинской области Республиканского общественного объединения "МҰҚАЛМАС"</x:t>
  </x:si>
  <x:si>
    <x:t xml:space="preserve">220940046134</x:t>
  </x:si>
  <x:si>
    <x:t xml:space="preserve">Товарищество с ограниченной ответственностью "Qostomar Park"</x:t>
  </x:si>
  <x:si>
    <x:t xml:space="preserve">221040049723</x:t>
  </x:si>
  <x:si>
    <x:t xml:space="preserve">Товарищество с ограниченной ответственностью "TENUS"</x:t>
  </x:si>
  <x:si>
    <x:t xml:space="preserve">62011</x:t>
  </x:si>
  <x:si>
    <x:t xml:space="preserve">РАЗРАБОТКА ПРОГРАММНОГО ОБЕСПЕЧЕНИЯ</x:t>
  </x:si>
  <x:si>
    <x:t xml:space="preserve">221140043956</x:t>
  </x:si>
  <x:si>
    <x:t xml:space="preserve">Товарищество с ограниченной ответственностью "Селезнев"</x:t>
  </x:si>
  <x:si>
    <x:t xml:space="preserve">230140009330</x:t>
  </x:si>
  <x:si>
    <x:t xml:space="preserve">Товарищество с ограниченной ответственностью "Мини-центр Балажан"</x:t>
  </x:si>
  <x:si>
    <x:t xml:space="preserve">230340012645</x:t>
  </x:si>
  <x:si>
    <x:t xml:space="preserve">Товарищество с ограниченной ответственностью "Инжиниренг сервис 2022"</x:t>
  </x:si>
  <x:si>
    <x:t xml:space="preserve">230340031770</x:t>
  </x:si>
  <x:si>
    <x:t xml:space="preserve">Товарищество с ограниченной ответственностью "Q-SPAREPARTS"</x:t>
  </x:si>
  <x:si>
    <x:t xml:space="preserve">46499</x:t>
  </x:si>
  <x:si>
    <x:t xml:space="preserve">Оптовая торговля прочими непродовольственными товарами потребительского назначения, не включенными в другие группировки</x:t>
  </x:si>
  <x:si>
    <x:t xml:space="preserve">230540027492</x:t>
  </x:si>
  <x:si>
    <x:t xml:space="preserve">Товарищество с ограниченной ответственностью "qazaq team group"</x:t>
  </x:si>
  <x:si>
    <x:t xml:space="preserve">230640028860</x:t>
  </x:si>
  <x:si>
    <x:t xml:space="preserve">Товарищество с ограниченной ответственностью "G.M.Industry"</x:t>
  </x:si>
  <x:si>
    <x:t xml:space="preserve">47224</x:t>
  </x:si>
  <x:si>
    <x:t xml:space="preserve">ПРОЧАЯ РОЗНИЧНАЯ ТОРГОВЛЯ МЯСОМ И МЯСНЫМИ ПРОДУКТАМИ В СПЕЦИАЛИЗИРОВАННЫХ МАГАЗИНАХ, ЯВЛЯЮЩИХСЯ ТОРГОВЫМИ ОБЪЕКТАМИ, С ТОРГОВОЙ ПЛОЩАДЬЮ МЕНЕЕ 2000 КВ.М</x:t>
  </x:si>
  <x:si>
    <x:t xml:space="preserve">230740040962</x:t>
  </x:si>
  <x:si>
    <x:t xml:space="preserve">Товарищество с ограниченной ответственностью "GDD-2023"</x:t>
  </x:si>
  <x:si>
    <x:t xml:space="preserve">ТЕХНИЧЕСКОЕ ОБСЛУЖИВАНИЕ И РЕМОНТ АВТОМОБИЛЕЙ, ЗА ИСКЛЮЧЕНИЕМ ПРОИЗВЕДЕННЫХ СТАНЦИЯМИ ТЕХНИЧЕСКОГО ОБСЛУЖИВАНИЯ, НАХОДЯЩИМИСЯ НА ПРИДОРОЖНОЙ ПОЛОСЕ</x:t>
  </x:si>
  <x:si>
    <x:t xml:space="preserve">231140010098</x:t>
  </x:si>
  <x:si>
    <x:t xml:space="preserve">Товарищество с ограниченной ответственностью "BR Club"</x:t>
  </x:si>
  <x:si>
    <x:t xml:space="preserve">240240010974</x:t>
  </x:si>
  <x:si>
    <x:t xml:space="preserve">Товарищество с ограниченной ответственностью "КайсарОтбасыСтрой"</x:t>
  </x:si>
  <x:si>
    <x:t xml:space="preserve">240240025118</x:t>
  </x:si>
  <x:si>
    <x:t xml:space="preserve">Товарищество с ограниченной ответственностью "Satti Vill"</x:t>
  </x:si>
  <x:si>
    <x:t xml:space="preserve">240340023206</x:t>
  </x:si>
  <x:si>
    <x:t xml:space="preserve">Товарищество с ограниченной ответственностью "Qazaqstan technology group"</x:t>
  </x:si>
  <x:si>
    <x:t xml:space="preserve">240440035035</x:t>
  </x:si>
  <x:si>
    <x:t xml:space="preserve">Товарищество с ограниченной ответственностью "QurylysAstana LTD"</x:t>
  </x:si>
  <x:si>
    <x:t xml:space="preserve">240540033479</x:t>
  </x:si>
  <x:si>
    <x:t xml:space="preserve">Товарищество с ограниченной ответственностью "AQUAFISH"</x:t>
  </x:si>
  <x:si>
    <x:t xml:space="preserve">240640023257</x:t>
  </x:si>
  <x:si>
    <x:t xml:space="preserve">Товарищество с ограниченной ответственностью "Green boron"</x:t>
  </x:si>
  <x:si>
    <x:t xml:space="preserve">240740020692</x:t>
  </x:si>
  <x:si>
    <x:t xml:space="preserve">Товарищество с ограниченной ответственностью "Build Pro Center"</x:t>
  </x:si>
  <x:si>
    <x:t xml:space="preserve">ПРЕДОСТАВЛЕНИЕ УСЛУГ ГОСТИНИЦАМИ С РЕСТОРАНАМИ, ЗА ИСКЛЮЧЕНИЕМ ГОСТИНИЦ, НАХОДЯЩИХСЯ НА ПРИДОРОЖНОЙ ПОЛОСЕ</x:t>
  </x:si>
  <x:si>
    <x:t xml:space="preserve">240740034860</x:t>
  </x:si>
  <x:si>
    <x:t xml:space="preserve">Товарищество с ограниченной ответственностью ""OMIR ASTANA""</x:t>
  </x:si>
  <x:si>
    <x:t xml:space="preserve">38220</x:t>
  </x:si>
  <x:si>
    <x:t xml:space="preserve">ОБРАБОТКА И УДАЛЕНИЕ ОПАСНЫХ ОТХОДОВ</x:t>
  </x:si>
  <x:si>
    <x:t xml:space="preserve">240940014893</x:t>
  </x:si>
  <x:si>
    <x:t xml:space="preserve">Товарищество с ограниченной ответственностью "ECO GREEN TAZALYQ"</x:t>
  </x:si>
  <x:si>
    <x:t xml:space="preserve">240940024226</x:t>
  </x:si>
  <x:si>
    <x:t xml:space="preserve">Товарищество с ограниченной ответственностью "Астана Агро БС"</x:t>
  </x:si>
  <x:si>
    <x:t xml:space="preserve">241040022319</x:t>
  </x:si>
  <x:si>
    <x:t xml:space="preserve">Товарищество с ограниченной ответственностью "ФармМентол"</x:t>
  </x:si>
  <x:si>
    <x:t xml:space="preserve">241240010729</x:t>
  </x:si>
  <x:si>
    <x:t xml:space="preserve">Сельскохозяйственный производственный кооператив "Возрождение 1"</x:t>
  </x:si>
  <x:si>
    <x:t xml:space="preserve">00000</x:t>
  </x:si>
  <x:si>
    <x:t xml:space="preserve">541112400038</x:t>
  </x:si>
  <x:si>
    <x:t xml:space="preserve">АМРАЛИНА ШЕКЕР ХАСЕНОВНА</x:t>
  </x:si>
  <x:si>
    <x:t xml:space="preserve">550824300455</x:t>
  </x:si>
  <x:si>
    <x:t xml:space="preserve">КОРОБКО АЛЕКСАНДР АНДРЕЕВИЧ</x:t>
  </x:si>
  <x:si>
    <x:t xml:space="preserve">600804400250</x:t>
  </x:si>
  <x:si>
    <x:t xml:space="preserve">ОСПАНОВА КУЛЬБАШ БАЛТАБАЕВНА</x:t>
  </x:si>
  <x:si>
    <x:t xml:space="preserve">610527350217</x:t>
  </x:si>
  <x:si>
    <x:t xml:space="preserve">ИГНАТЕНКО СЕРГЕЙ ЯКОВЛЕВИЧ</x:t>
  </x:si>
  <x:si>
    <x:t xml:space="preserve">49410</x:t>
  </x:si>
  <x:si>
    <x:t xml:space="preserve">ДЕЯТЕЛЬНОСТЬ ГРУЗОВОГО АВТОМОБИЛЬНОГО ТРАНСПОРТА</x:t>
  </x:si>
  <x:si>
    <x:t xml:space="preserve">630611350475</x:t>
  </x:si>
  <x:si>
    <x:t xml:space="preserve">ЖУБАНЬЯЗОВ АКИЛБЕК КУШЕРОВИЧ</x:t>
  </x:si>
  <x:si>
    <x:t xml:space="preserve">641015301164</x:t>
  </x:si>
  <x:si>
    <x:t xml:space="preserve">АФАНАСЬЕВ ВЛАДИМИР ПЕТРОВИЧ</x:t>
  </x:si>
  <x:si>
    <x:t xml:space="preserve">10850</x:t>
  </x:si>
  <x:si>
    <x:t xml:space="preserve">ПРОИЗВОДСТВО ГОТОВЫХ ПИЩЕВЫХ ПРОДУКТОВ</x:t>
  </x:si>
  <x:si>
    <x:t xml:space="preserve">650723401109</x:t>
  </x:si>
  <x:si>
    <x:t xml:space="preserve">АХМЕТБАЕВА УМЫТХАН БОЛЕКБАЕВНА</x:t>
  </x:si>
  <x:si>
    <x:t xml:space="preserve">660827350198</x:t>
  </x:si>
  <x:si>
    <x:t xml:space="preserve">ШУБЕНОК ОЛЕГ УЛЬЯНОВИЧ</x:t>
  </x:si>
  <x:si>
    <x:t xml:space="preserve">690719300794</x:t>
  </x:si>
  <x:si>
    <x:t xml:space="preserve">АШИРБЕКОВ САЛЕМЖАН САРСЕМБАЕВИЧ</x:t>
  </x:si>
  <x:si>
    <x:t xml:space="preserve">720220450564</x:t>
  </x:si>
  <x:si>
    <x:t xml:space="preserve">ТАЛАСОВА ГУЛЗАДА ДАУЛЕТОВНА</x:t>
  </x:si>
  <x:si>
    <x:t xml:space="preserve">01490</x:t>
  </x:si>
  <x:si>
    <x:t xml:space="preserve">РАЗВЕДЕНИЕ ПРОЧИХ ВИДОВ ЖИВОТНЫХ</x:t>
  </x:si>
  <x:si>
    <x:t xml:space="preserve">770714000150</x:t>
  </x:si>
  <x:si>
    <x:t xml:space="preserve">ДАУЛЕТБАЙ ОМИРБАЙ</x:t>
  </x:si>
  <x:si>
    <x:t xml:space="preserve">95292</x:t>
  </x:si>
  <x:si>
    <x:t xml:space="preserve">РЕМОНТ ШВЕЙНЫХ ИЗДЕЛИЙ, ГОЛОВНЫХ УБОРОВ И ИЗДЕЛИЙ ТЕКСТИЛЬНОЙ ГАЛАНТЕРЕИ</x:t>
  </x:si>
  <x:si>
    <x:t xml:space="preserve">781016499066</x:t>
  </x:si>
  <x:si>
    <x:t xml:space="preserve">ЭРКЕБАЕВА РАХИЯ ИРИСОВНА</x:t>
  </x:si>
  <x:si>
    <x:t xml:space="preserve">74300</x:t>
  </x:si>
  <x:si>
    <x:t xml:space="preserve">Деятельность по устному и письменному переводу</x:t>
  </x:si>
  <x:si>
    <x:t xml:space="preserve">800805401454</x:t>
  </x:si>
  <x:si>
    <x:t xml:space="preserve">НУРХАН ГУЛЬЗАТ КУРМАНГАЛИЕВНА</x:t>
  </x:si>
  <x:si>
    <x:t xml:space="preserve">810127450250</x:t>
  </x:si>
  <x:si>
    <x:t xml:space="preserve">ТЕМЕРБЕКОВА ДИНАРА САНСЫЗБАЕВНА</x:t>
  </x:si>
  <x:si>
    <x:t xml:space="preserve">810201350127</x:t>
  </x:si>
  <x:si>
    <x:t xml:space="preserve">АКМАГАМБЕТОВ АСЫЛ ЖАНАБАЕВИЧ</x:t>
  </x:si>
  <x:si>
    <x:t xml:space="preserve">810721303152</x:t>
  </x:si>
  <x:si>
    <x:t xml:space="preserve">МАДАЛИЕВ ШАВКАТ ХАБИБУЛЛАЕВИЧ</x:t>
  </x:si>
  <x:si>
    <x:t xml:space="preserve">820602450551</x:t>
  </x:si>
  <x:si>
    <x:t xml:space="preserve">ЛУЦЕНКО АЛЛА ЛЕОНИДОВНА</x:t>
  </x:si>
  <x:si>
    <x:t xml:space="preserve">831009350308</x:t>
  </x:si>
  <x:si>
    <x:t xml:space="preserve">КУАНЫШПАЕВ ЖАСЛАН СЕРИКПАЕВИЧ</x:t>
  </x:si>
  <x:si>
    <x:t xml:space="preserve">840525450973</x:t>
  </x:si>
  <x:si>
    <x:t xml:space="preserve">КАКЕНОВА НАГИМА АШИМТАЕВНА</x:t>
  </x:si>
  <x:si>
    <x:t xml:space="preserve">10710</x:t>
  </x:si>
  <x:si>
    <x:t xml:space="preserve">Производство хлебобулочных и мучных кондитерских изделий недлительного хранения</x:t>
  </x:si>
  <x:si>
    <x:t xml:space="preserve">850302450100</x:t>
  </x:si>
  <x:si>
    <x:t xml:space="preserve">МУХАМБЕТОВА ГАЛИЯ МУНИРОВНА</x:t>
  </x:si>
  <x:si>
    <x:t xml:space="preserve">47789</x:t>
  </x:si>
  <x:si>
    <x:t xml:space="preserve">Прочая розничная торговля в специализированных магазинах, являющихся торговыми объектами, с торговой площадью менее 2000 кв.м</x:t>
  </x:si>
  <x:si>
    <x:t xml:space="preserve">851211401279</x:t>
  </x:si>
  <x:si>
    <x:t xml:space="preserve">КЕРИМБЕКОВА БИБИГУЛЬ УЛИХБЕКОВНА</x:t>
  </x:si>
  <x:si>
    <x:t xml:space="preserve">860815350848</x:t>
  </x:si>
  <x:si>
    <x:t xml:space="preserve">ГИЛЬМУТДИНОВ ДИНИСЛАМ РУДИКОВИЧ</x:t>
  </x:si>
  <x:si>
    <x:t xml:space="preserve">860904351354</x:t>
  </x:si>
  <x:si>
    <x:t xml:space="preserve">БАЗАЕВ АЛЕКСЕЙ ФЕДОРОВИЧ</x:t>
  </x:si>
  <x:si>
    <x:t xml:space="preserve">880126350806</x:t>
  </x:si>
  <x:si>
    <x:t xml:space="preserve">КОЛИПОВ ИВАН ДАНИЛОВИЧ</x:t>
  </x:si>
  <x:si>
    <x:t xml:space="preserve">890608402021</x:t>
  </x:si>
  <x:si>
    <x:t xml:space="preserve">ЖАНГАЗИНА ИЛЬМИРА БАЛТАБАЕВНА</x:t>
  </x:si>
  <x:si>
    <x:t xml:space="preserve">61909</x:t>
  </x:si>
  <x:si>
    <x:t xml:space="preserve">Прочая деятельность в области телекоммуникаций, не включенная в другие группировки</x:t>
  </x:si>
  <x:si>
    <x:t xml:space="preserve">890630401876</x:t>
  </x:si>
  <x:si>
    <x:t xml:space="preserve">ТЫНЫБЕКОВА АЛЬБИНА МАРАТОВНА</x:t>
  </x:si>
  <x:si>
    <x:t xml:space="preserve">900511450891</x:t>
  </x:si>
  <x:si>
    <x:t xml:space="preserve">БЕСПАЛОВА ОЛЬГА НИКОЛАЕВНА</x:t>
  </x:si>
  <x:si>
    <x:t xml:space="preserve">900725350076</x:t>
  </x:si>
  <x:si>
    <x:t xml:space="preserve">МЫРЗАЖИГИТОВ БОЛАТ МАДЫЛХАНОВИЧ</x:t>
  </x:si>
  <x:si>
    <x:t xml:space="preserve">921028450931</x:t>
  </x:si>
  <x:si>
    <x:t xml:space="preserve">АХМЕТОВА САНДУГАШ ГАБДЕЛЬ-ДЖАУАТОВНА</x:t>
  </x:si>
  <x:si>
    <x:t xml:space="preserve">930130302423</x:t>
  </x:si>
  <x:si>
    <x:t xml:space="preserve">ӘБУБӘКІР БАҒЛАН ЕСБОЛҰЛЫ</x:t>
  </x:si>
  <x:si>
    <x:t xml:space="preserve">940117451518</x:t>
  </x:si>
  <x:si>
    <x:t xml:space="preserve">ВАСИЛЬЕВА ЮЛИЯ ВАСИЛЬЕВНА</x:t>
  </x:si>
  <x:si>
    <x:t xml:space="preserve">88100</x:t>
  </x:si>
  <x:si>
    <x:t xml:space="preserve">Предоставление социальных услуг без обеспечения проживания пожилым гражданам и инвалидам</x:t>
  </x:si>
  <x:si>
    <x:t xml:space="preserve">941207450773</x:t>
  </x:si>
  <x:si>
    <x:t xml:space="preserve">КОЖБАНОВА НАБАТ ЖАНГАБЫЛОВНА</x:t>
  </x:si>
  <x:si>
    <x:t xml:space="preserve">951003351239</x:t>
  </x:si>
  <x:si>
    <x:t xml:space="preserve">КОРНЕВ ДАНИЛ СЕРГЕЕВИЧ</x:t>
  </x:si>
  <x:si>
    <x:t xml:space="preserve">960602450212</x:t>
  </x:si>
  <x:si>
    <x:t xml:space="preserve">ЖУМАБЕК ЖАНАРГУЛ</x:t>
  </x:si>
  <x:si>
    <x:t xml:space="preserve">68202</x:t>
  </x:si>
  <x:si>
    <x:t xml:space="preserve">Аренда (субаренда) и эксплуатация арендуемой недвижимости</x:t>
  </x:si>
  <x:si>
    <x:t xml:space="preserve">980340004560</x:t>
  </x:si>
  <x:si>
    <x:t xml:space="preserve">Товарищество с ограниченной ответственностью "Кайсар"</x:t>
  </x:si>
  <x:si>
    <x:t xml:space="preserve">980940003485</x:t>
  </x:si>
  <x:si>
    <x:t xml:space="preserve">Товарищество с ограниченной ответственностью "САВА"</x:t>
  </x:si>
  <x:si>
    <x:t xml:space="preserve">Общий итог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</x:si>
</x:sst>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sz val="11"/>
      <x:color rgb="FFFF0000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00B0F0"/>
      </x:patternFill>
    </x:fill>
    <x:fill>
      <x:patternFill patternType="solid">
        <x:fgColor rgb="FF92D050"/>
      </x:patternFill>
    </x:fill>
  </x:fills>
  <x:borders count="7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49" fontId="0" fillId="0" borderId="0" xfId="0" applyNumberFormat="1"/>
    <x:xf numFmtId="0" fontId="0" fillId="0" borderId="0" xfId="0" applyAlignment="1">
      <x:alignment wrapText="1"/>
    </x:xf>
    <x:xf numFmtId="0" fontId="0" fillId="0" borderId="4" xfId="0" applyBorder="1"/>
    <x:xf numFmtId="49" fontId="0" fillId="0" borderId="4" xfId="0" applyNumberFormat="1" applyBorder="1" applyAlignment="1">
      <x:alignment horizontal="center"/>
    </x:xf>
    <x:xf numFmtId="0" fontId="1" fillId="0" borderId="4" xfId="0" applyFont="1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4" xfId="0" applyBorder="1" applyAlignment="1">
      <x:alignment horizontal="center" wrapText="1"/>
    </x:xf>
    <x:xf numFmtId="0" fontId="0" fillId="2" borderId="4" xfId="0" applyFill="1" applyBorder="1" applyAlignment="1">
      <x:alignment horizontal="center" vertical="center"/>
    </x:xf>
    <x:xf numFmtId="3" fontId="0" fillId="3" borderId="4" xfId="0" applyNumberFormat="1" applyFill="1" applyBorder="1" applyAlignment="1">
      <x:alignment horizontal="center" wrapText="1"/>
    </x:xf>
    <x:xf numFmtId="0" fontId="0" fillId="4" borderId="4" xfId="0" applyFill="1" applyBorder="1" applyAlignment="1">
      <x:alignment horizontal="center"/>
    </x:xf>
    <x:xf numFmtId="0" fontId="0" fillId="0" borderId="0" xfId="0" applyAlignment="1">
      <x:alignment horizontal="center"/>
    </x:xf>
    <x:xf numFmtId="49" fontId="0" fillId="0" borderId="6" xfId="0" applyNumberFormat="1" applyBorder="1" applyAlignment="1">
      <x:alignment horizontal="center"/>
    </x:xf>
    <x:xf numFmtId="0" fontId="0" fillId="0" borderId="4" xfId="0" applyBorder="1" applyAlignment="1">
      <x:alignment horizontal="center"/>
    </x:xf>
    <x:xf numFmtId="3" fontId="0" fillId="0" borderId="4" xfId="0" applyNumberFormat="1" applyBorder="1" applyAlignment="1">
      <x:alignment horizontal="center"/>
    </x:xf>
    <x:xf numFmtId="3" fontId="0" fillId="0" borderId="4" xfId="0" applyNumberFormat="1" applyBorder="1" applyAlignment="1">
      <x:alignment horizontal="center" wrapText="1"/>
    </x:xf>
    <x:xf numFmtId="49" fontId="0" fillId="0" borderId="0" xfId="0" applyNumberFormat="1" applyAlignment="1">
      <x:alignment horizontal="center"/>
    </x:xf>
    <x:xf numFmtId="0" fontId="0" fillId="0" borderId="6" xfId="0" applyBorder="1"/>
    <x:xf numFmtId="0" fontId="0" fillId="0" borderId="1" xfId="0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dae20cae04524" /><Relationship Type="http://schemas.openxmlformats.org/officeDocument/2006/relationships/theme" Target="/xl/theme/theme1.xml" Id="R52436b995c784c46" /><Relationship Type="http://schemas.openxmlformats.org/officeDocument/2006/relationships/sharedStrings" Target="/xl/sharedStrings.xml" Id="Rffee6710e7354ad6" /><Relationship Type="http://schemas.openxmlformats.org/officeDocument/2006/relationships/worksheet" Target="/xl/worksheets/sheet1.xml" Id="Rd5fcc394d14549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sheetData>
    <x:row r="1" ht="15">
      <x:c r="C1" s="1"/>
      <x:c r="T1" s="2"/>
      <x:c r="U1" s="2"/>
    </x:row>
    <x:row r="2" ht="15">
      <x:c r="C2" s="1"/>
      <x:c r="E2" s="18" t="s">
        <x:v>0</x:v>
      </x:c>
      <x:c r="F2" s="19"/>
      <x:c r="G2" s="20"/>
      <x:c r="H2" s="18" t="s">
        <x:v>1</x:v>
      </x:c>
      <x:c r="I2" s="19"/>
      <x:c r="J2" s="20"/>
      <x:c r="K2" s="18" t="s">
        <x:v>2</x:v>
      </x:c>
      <x:c r="L2" s="19"/>
      <x:c r="M2" s="20"/>
      <x:c r="N2" s="18" t="s">
        <x:v>3</x:v>
      </x:c>
      <x:c r="O2" s="19"/>
      <x:c r="P2" s="20"/>
      <x:c r="T2" s="2"/>
      <x:c r="U2" s="2"/>
    </x:row>
    <x:row r="3" ht="43.5">
      <x:c r="A3" s="3" t="s">
        <x:v>4</x:v>
      </x:c>
      <x:c r="B3" s="3" t="s">
        <x:v>5</x:v>
      </x:c>
      <x:c r="C3" s="4" t="s">
        <x:v>6</x:v>
      </x:c>
      <x:c r="D3" s="5" t="s">
        <x:v>7</x:v>
      </x:c>
      <x:c r="E3" s="6" t="s">
        <x:v>8</x:v>
      </x:c>
      <x:c r="F3" s="6" t="s">
        <x:v>9</x:v>
      </x:c>
      <x:c r="G3" s="6" t="s">
        <x:v>10</x:v>
      </x:c>
      <x:c r="H3" s="6" t="s">
        <x:v>8</x:v>
      </x:c>
      <x:c r="I3" s="6" t="s">
        <x:v>9</x:v>
      </x:c>
      <x:c r="J3" s="6" t="s">
        <x:v>10</x:v>
      </x:c>
      <x:c r="K3" s="6" t="s">
        <x:v>8</x:v>
      </x:c>
      <x:c r="L3" s="6" t="s">
        <x:v>9</x:v>
      </x:c>
      <x:c r="M3" s="6" t="s">
        <x:v>10</x:v>
      </x:c>
      <x:c r="N3" s="6" t="s">
        <x:v>8</x:v>
      </x:c>
      <x:c r="O3" s="6" t="s">
        <x:v>9</x:v>
      </x:c>
      <x:c r="P3" s="6" t="s">
        <x:v>10</x:v>
      </x:c>
      <x:c r="Q3" s="7" t="s">
        <x:v>11</x:v>
      </x:c>
      <x:c r="R3" s="7" t="s">
        <x:v>12</x:v>
      </x:c>
      <x:c r="S3" s="8" t="s">
        <x:v>13</x:v>
      </x:c>
      <x:c r="T3" s="9" t="s">
        <x:v>14</x:v>
      </x:c>
      <x:c r="U3" s="9" t="s">
        <x:v>15</x:v>
      </x:c>
      <x:c r="V3" s="10" t="s">
        <x:v>16</x:v>
      </x:c>
      <x:c r="W3" s="11" t="s">
        <x:v>17</x:v>
      </x:c>
      <x:c r="X3" t="s">
        <x:v>18</x:v>
      </x:c>
    </x:row>
    <x:row r="4">
      <x:c r="A4" s="12" t="s">
        <x:v>19</x:v>
      </x:c>
      <x:c r="B4" s="3" t="s">
        <x:v>20</x:v>
      </x:c>
      <x:c r="C4" s="4" t="s">
        <x:v>21</x:v>
      </x:c>
      <x:c r="D4" s="5">
        <x:v>306</x:v>
      </x:c>
      <x:c r="E4" s="13">
        <x:v>1</x:v>
      </x:c>
      <x:c r="F4" s="13">
        <x:v>1</x:v>
      </x:c>
      <x:c r="G4" s="13">
        <x:v>1</x:v>
      </x:c>
      <x:c r="H4" s="13">
        <x:v>1</x:v>
      </x:c>
      <x:c r="I4" s="13">
        <x:v>1</x:v>
      </x:c>
      <x:c r="J4" s="13">
        <x:v>1</x:v>
      </x:c>
      <x:c r="K4" s="13">
        <x:v>1</x:v>
      </x:c>
      <x:c r="L4" s="13">
        <x:v>1</x:v>
      </x:c>
      <x:c r="M4" s="13">
        <x:v>1</x:v>
      </x:c>
      <x:c r="N4" s="13">
        <x:v>1</x:v>
      </x:c>
      <x:c r="O4" s="13">
        <x:v>1</x:v>
      </x:c>
      <x:c r="P4" s="13">
        <x:v>1</x:v>
      </x:c>
      <x:c r="Q4" s="13" t="n">
        <x:f t="shared" ref="Q4:Q67" si="0">COUNT(E4:P4)</x:f>
        <x:v>12</x:v>
      </x:c>
      <x:c r="R4" s="13" t="n">
        <x:f t="shared" ref="R4:R67" si="1">SUM(E4:P4)</x:f>
        <x:v>12</x:v>
      </x:c>
      <x:c r="S4" s="14" t="n">
        <x:f>IF(Q4&gt;0,R4/Q4,"")</x:f>
        <x:v>1</x:v>
      </x:c>
      <x:c r="T4" s="15">
        <x:v>2139600</x:v>
      </x:c>
      <x:c r="U4" s="15">
        <x:v>1782720</x:v>
      </x:c>
      <x:c r="V4" s="14">
        <x:v>24000000</x:v>
      </x:c>
      <x:c r="W4" s="14" t="n">
        <x:f>IF(AND(Q4&gt;0,S4&gt;0,V4&lt;&gt;""),V4/S4/Q4,"")</x:f>
        <x:v>2000000</x:v>
      </x:c>
      <x:c r="X4" s="3" t="s">
        <x:v>22</x:v>
      </x:c>
    </x:row>
    <x:row r="5">
      <x:c r="A5" s="12" t="s">
        <x:v>19</x:v>
      </x:c>
      <x:c r="B5" s="3" t="s">
        <x:v>20</x:v>
      </x:c>
      <x:c r="C5" s="4" t="s">
        <x:v>23</x:v>
      </x:c>
      <x:c r="D5" s="5">
        <x:v>306</x:v>
      </x:c>
      <x:c r="E5" s="13">
        <x:v>1</x:v>
      </x:c>
      <x:c r="F5" s="13">
        <x:v>1</x:v>
      </x:c>
      <x:c r="G5" s="13">
        <x:v>1</x:v>
      </x:c>
      <x:c r="H5" s="13">
        <x:v>1</x:v>
      </x:c>
      <x:c r="I5" s="13">
        <x:v>1</x:v>
      </x:c>
      <x:c r="J5" s="13">
        <x:v>1</x:v>
      </x:c>
      <x:c r="K5" s="13">
        <x:v>1</x:v>
      </x:c>
      <x:c r="L5" s="13">
        <x:v>1</x:v>
      </x:c>
      <x:c r="M5" s="13">
        <x:v>1</x:v>
      </x:c>
      <x:c r="N5" s="13">
        <x:v>1</x:v>
      </x:c>
      <x:c r="O5" s="13">
        <x:v>1</x:v>
      </x:c>
      <x:c r="P5" s="13">
        <x:v>1</x:v>
      </x:c>
      <x:c r="Q5" s="13" t="n">
        <x:f t="shared" si="0">COUNT(E5:P5)</x:f>
        <x:v>12</x:v>
      </x:c>
      <x:c r="R5" s="13" t="n">
        <x:f t="shared" si="1">SUM(E5:P5)</x:f>
        <x:v>12</x:v>
      </x:c>
      <x:c r="S5" s="14" t="n">
        <x:f>IF(Q5&gt;0,R5/Q5,"")</x:f>
        <x:v>1</x:v>
      </x:c>
      <x:c r="T5" s="15">
        <x:v>1736639</x:v>
      </x:c>
      <x:c r="U5" s="15">
        <x:v>475983</x:v>
      </x:c>
      <x:c r="V5" s="14">
        <x:v>7842748</x:v>
      </x:c>
      <x:c r="W5" s="14" t="n">
        <x:f t="shared" ref="W5:W12" si="2">IF(AND(Q5&gt;0,S5&gt;0,V5&lt;&gt;""),V5/S5/Q5,"")</x:f>
        <x:v>653562.3333333334</x:v>
      </x:c>
      <x:c r="X5" s="3" t="s">
        <x:v>24</x:v>
      </x:c>
    </x:row>
    <x:row r="6">
      <x:c r="A6" s="12" t="s">
        <x:v>25</x:v>
      </x:c>
      <x:c r="B6" s="3" t="s">
        <x:v>26</x:v>
      </x:c>
      <x:c r="C6" s="4" t="s">
        <x:v>27</x:v>
      </x:c>
      <x:c r="D6" s="5">
        <x:v>306</x:v>
      </x:c>
      <x:c r="E6" s="13">
        <x:v>55</x:v>
      </x:c>
      <x:c r="F6" s="13">
        <x:v>55</x:v>
      </x:c>
      <x:c r="G6" s="13">
        <x:v>53</x:v>
      </x:c>
      <x:c r="H6" s="13">
        <x:v>54</x:v>
      </x:c>
      <x:c r="I6" s="13">
        <x:v>54</x:v>
      </x:c>
      <x:c r="J6" s="13">
        <x:v>51</x:v>
      </x:c>
      <x:c r="K6" s="13">
        <x:v>53</x:v>
      </x:c>
      <x:c r="L6" s="13">
        <x:v>53</x:v>
      </x:c>
      <x:c r="M6" s="13">
        <x:v>53</x:v>
      </x:c>
      <x:c r="N6" s="13">
        <x:v>55</x:v>
      </x:c>
      <x:c r="O6" s="13">
        <x:v>54</x:v>
      </x:c>
      <x:c r="P6" s="13">
        <x:v>54</x:v>
      </x:c>
      <x:c r="Q6" s="13" t="n">
        <x:f t="shared" si="0">COUNT(E6:P6)</x:f>
        <x:v>12</x:v>
      </x:c>
      <x:c r="R6" s="13" t="n">
        <x:f t="shared" si="1">SUM(E6:P6)</x:f>
        <x:v>644</x:v>
      </x:c>
      <x:c r="S6" s="14" t="n">
        <x:f>IF(Q6&gt;0,R6/Q6,"")</x:f>
        <x:v>53.666666666666664</x:v>
      </x:c>
      <x:c r="T6" s="15">
        <x:v>16538326</x:v>
      </x:c>
      <x:c r="U6" s="15">
        <x:v>11912723</x:v>
      </x:c>
      <x:c r="V6" s="14">
        <x:v>252400524</x:v>
      </x:c>
      <x:c r="W6" s="14" t="n">
        <x:f t="shared" si="2">IF(AND(Q6&gt;0,S6&gt;0,V6&lt;&gt;""),V6/S6/Q6,"")</x:f>
        <x:v>391926.2795031056</x:v>
      </x:c>
      <x:c r="X6" s="3" t="s">
        <x:v>28</x:v>
      </x:c>
    </x:row>
    <x:row r="7">
      <x:c r="A7" s="12" t="s">
        <x:v>25</x:v>
      </x:c>
      <x:c r="B7" s="3" t="s">
        <x:v>26</x:v>
      </x:c>
      <x:c r="C7" s="4" t="s">
        <x:v>29</x:v>
      </x:c>
      <x:c r="D7" s="5">
        <x:v>306</x:v>
      </x:c>
      <x:c r="E7" s="13">
        <x:v>51</x:v>
      </x:c>
      <x:c r="F7" s="13">
        <x:v>51</x:v>
      </x:c>
      <x:c r="G7" s="13">
        <x:v>46</x:v>
      </x:c>
      <x:c r="H7" s="13">
        <x:v>48</x:v>
      </x:c>
      <x:c r="I7" s="13">
        <x:v>48</x:v>
      </x:c>
      <x:c r="J7" s="13">
        <x:v>41</x:v>
      </x:c>
      <x:c r="K7" s="13">
        <x:v>53</x:v>
      </x:c>
      <x:c r="L7" s="13">
        <x:v>53</x:v>
      </x:c>
      <x:c r="M7" s="13">
        <x:v>53</x:v>
      </x:c>
      <x:c r="N7" s="13">
        <x:v>51</x:v>
      </x:c>
      <x:c r="O7" s="13">
        <x:v>51</x:v>
      </x:c>
      <x:c r="P7" s="13">
        <x:v>51</x:v>
      </x:c>
      <x:c r="Q7" s="13" t="n">
        <x:f t="shared" si="0">COUNT(E7:P7)</x:f>
        <x:v>12</x:v>
      </x:c>
      <x:c r="R7" s="13" t="n">
        <x:f t="shared" si="1">SUM(E7:P7)</x:f>
        <x:v>597</x:v>
      </x:c>
      <x:c r="S7" s="14" t="n">
        <x:f>IF(Q7&gt;0,R7/Q7,"")</x:f>
        <x:v>49.75</x:v>
      </x:c>
      <x:c r="T7" s="15">
        <x:v>13990367</x:v>
      </x:c>
      <x:c r="U7" s="15">
        <x:v>10386046</x:v>
      </x:c>
      <x:c r="V7" s="14">
        <x:v>215151154</x:v>
      </x:c>
      <x:c r="W7" s="14" t="n">
        <x:f t="shared" si="2">IF(AND(Q7&gt;0,S7&gt;0,V7&lt;&gt;""),V7/S7/Q7,"")</x:f>
        <x:v>360387.1926298158</x:v>
      </x:c>
      <x:c r="X7" s="3" t="s">
        <x:v>30</x:v>
      </x:c>
    </x:row>
    <x:row r="8">
      <x:c r="A8" s="12" t="s">
        <x:v>25</x:v>
      </x:c>
      <x:c r="B8" s="3" t="s">
        <x:v>26</x:v>
      </x:c>
      <x:c r="C8" s="4" t="s">
        <x:v>31</x:v>
      </x:c>
      <x:c r="D8" s="5">
        <x:v>306</x:v>
      </x:c>
      <x:c r="E8" s="13">
        <x:v>51</x:v>
      </x:c>
      <x:c r="F8" s="13">
        <x:v>51</x:v>
      </x:c>
      <x:c r="G8" s="13">
        <x:v>48</x:v>
      </x:c>
      <x:c r="H8" s="13">
        <x:v>51</x:v>
      </x:c>
      <x:c r="I8" s="13">
        <x:v>51</x:v>
      </x:c>
      <x:c r="J8" s="13">
        <x:v>42</x:v>
      </x:c>
      <x:c r="K8" s="13">
        <x:v>50</x:v>
      </x:c>
      <x:c r="L8" s="13">
        <x:v>50</x:v>
      </x:c>
      <x:c r="M8" s="13">
        <x:v>50</x:v>
      </x:c>
      <x:c r="N8" s="13">
        <x:v>48</x:v>
      </x:c>
      <x:c r="O8" s="13">
        <x:v>48</x:v>
      </x:c>
      <x:c r="P8" s="13">
        <x:v>47</x:v>
      </x:c>
      <x:c r="Q8" s="13" t="n">
        <x:f t="shared" si="0">COUNT(E8:P8)</x:f>
        <x:v>12</x:v>
      </x:c>
      <x:c r="R8" s="13" t="n">
        <x:f t="shared" si="1">SUM(E8:P8)</x:f>
        <x:v>587</x:v>
      </x:c>
      <x:c r="S8" s="14" t="n">
        <x:f>IF(Q8&gt;0,R8/Q8,"")</x:f>
        <x:v>48.916666666666664</x:v>
      </x:c>
      <x:c r="T8" s="15">
        <x:v>13999941</x:v>
      </x:c>
      <x:c r="U8" s="15">
        <x:v>9406039</x:v>
      </x:c>
      <x:c r="V8" s="14">
        <x:v>210369091</x:v>
      </x:c>
      <x:c r="W8" s="14" t="n">
        <x:f t="shared" si="2">IF(AND(Q8&gt;0,S8&gt;0,V8&lt;&gt;""),V8/S8/Q8,"")</x:f>
        <x:v>358380.05281090294</x:v>
      </x:c>
      <x:c r="X8" s="3" t="s">
        <x:v>32</x:v>
      </x:c>
    </x:row>
    <x:row r="9">
      <x:c r="A9" s="12" t="s">
        <x:v>25</x:v>
      </x:c>
      <x:c r="B9" s="3" t="s">
        <x:v>26</x:v>
      </x:c>
      <x:c r="C9" s="4" t="s">
        <x:v>33</x:v>
      </x:c>
      <x:c r="D9" s="5">
        <x:v>306</x:v>
      </x:c>
      <x:c r="E9" s="13">
        <x:v>56</x:v>
      </x:c>
      <x:c r="F9" s="13">
        <x:v>56</x:v>
      </x:c>
      <x:c r="G9" s="13">
        <x:v>53</x:v>
      </x:c>
      <x:c r="H9" s="13">
        <x:v>54</x:v>
      </x:c>
      <x:c r="I9" s="13">
        <x:v>54</x:v>
      </x:c>
      <x:c r="J9" s="13">
        <x:v>45</x:v>
      </x:c>
      <x:c r="K9" s="13">
        <x:v>63</x:v>
      </x:c>
      <x:c r="L9" s="13">
        <x:v>63</x:v>
      </x:c>
      <x:c r="M9" s="13">
        <x:v>61</x:v>
      </x:c>
      <x:c r="N9" s="13">
        <x:v>58</x:v>
      </x:c>
      <x:c r="O9" s="13">
        <x:v>54</x:v>
      </x:c>
      <x:c r="P9" s="13">
        <x:v>54</x:v>
      </x:c>
      <x:c r="Q9" s="13" t="n">
        <x:f t="shared" si="0">COUNT(E9:P9)</x:f>
        <x:v>12</x:v>
      </x:c>
      <x:c r="R9" s="13" t="n">
        <x:f t="shared" si="1">SUM(E9:P9)</x:f>
        <x:v>671</x:v>
      </x:c>
      <x:c r="S9" s="14" t="n">
        <x:f>IF(Q9&gt;0,R9/Q9,"")</x:f>
        <x:v>55.916666666666664</x:v>
      </x:c>
      <x:c r="T9" s="15">
        <x:v>14193403</x:v>
      </x:c>
      <x:c r="U9" s="15">
        <x:v>10908346</x:v>
      </x:c>
      <x:c r="V9" s="14">
        <x:v>218156549</x:v>
      </x:c>
      <x:c r="W9" s="14" t="n">
        <x:f t="shared" si="2">IF(AND(Q9&gt;0,S9&gt;0,V9&lt;&gt;""),V9/S9/Q9,"")</x:f>
        <x:v>325121.53353204177</x:v>
      </x:c>
      <x:c r="X9" s="3" t="s">
        <x:v>34</x:v>
      </x:c>
    </x:row>
    <x:row r="10">
      <x:c r="A10" s="12" t="s">
        <x:v>25</x:v>
      </x:c>
      <x:c r="B10" s="3" t="s">
        <x:v>35</x:v>
      </x:c>
      <x:c r="C10" s="4" t="s">
        <x:v>36</x:v>
      </x:c>
      <x:c r="D10" s="5">
        <x:v>306</x:v>
      </x:c>
      <x:c r="E10" s="13">
        <x:v>97</x:v>
      </x:c>
      <x:c r="F10" s="13">
        <x:v>97</x:v>
      </x:c>
      <x:c r="G10" s="13">
        <x:v>97</x:v>
      </x:c>
      <x:c r="H10" s="13">
        <x:v>87</x:v>
      </x:c>
      <x:c r="I10" s="13">
        <x:v>87</x:v>
      </x:c>
      <x:c r="J10" s="13">
        <x:v>87</x:v>
      </x:c>
      <x:c r="K10" s="13">
        <x:v>100</x:v>
      </x:c>
      <x:c r="L10" s="13">
        <x:v>100</x:v>
      </x:c>
      <x:c r="M10" s="13">
        <x:v>100</x:v>
      </x:c>
      <x:c r="N10" s="13">
        <x:v>92</x:v>
      </x:c>
      <x:c r="O10" s="13">
        <x:v>91</x:v>
      </x:c>
      <x:c r="P10" s="13">
        <x:v>91</x:v>
      </x:c>
      <x:c r="Q10" s="13" t="n">
        <x:f t="shared" si="0">COUNT(E10:P10)</x:f>
        <x:v>12</x:v>
      </x:c>
      <x:c r="R10" s="13" t="n">
        <x:f t="shared" si="1">SUM(E10:P10)</x:f>
        <x:v>1126</x:v>
      </x:c>
      <x:c r="S10" s="14" t="n">
        <x:f>IF(Q10&gt;0,R10/Q10,"")</x:f>
        <x:v>93.83333333333333</x:v>
      </x:c>
      <x:c r="T10" s="15">
        <x:v>27016166</x:v>
      </x:c>
      <x:c r="U10" s="15">
        <x:v>18653832</x:v>
      </x:c>
      <x:c r="V10" s="14">
        <x:v>377251788</x:v>
      </x:c>
      <x:c r="W10" s="14" t="n">
        <x:f t="shared" si="2">IF(AND(Q10&gt;0,S10&gt;0,V10&lt;&gt;""),V10/S10/Q10,"")</x:f>
        <x:v>335037.1119005329</x:v>
      </x:c>
      <x:c r="X10" s="3" t="s">
        <x:v>37</x:v>
      </x:c>
    </x:row>
    <x:row r="11">
      <x:c r="A11" s="12" t="s">
        <x:v>25</x:v>
      </x:c>
      <x:c r="B11" s="3" t="s">
        <x:v>26</x:v>
      </x:c>
      <x:c r="C11" s="4" t="s">
        <x:v>38</x:v>
      </x:c>
      <x:c r="D11" s="5">
        <x:v>306</x:v>
      </x:c>
      <x:c r="E11" s="13">
        <x:v>37</x:v>
      </x:c>
      <x:c r="F11" s="13">
        <x:v>37</x:v>
      </x:c>
      <x:c r="G11" s="13">
        <x:v>34</x:v>
      </x:c>
      <x:c r="H11" s="13">
        <x:v>37</x:v>
      </x:c>
      <x:c r="I11" s="13">
        <x:v>37</x:v>
      </x:c>
      <x:c r="J11" s="13">
        <x:v>34</x:v>
      </x:c>
      <x:c r="K11" s="13">
        <x:v>39</x:v>
      </x:c>
      <x:c r="L11" s="13">
        <x:v>39</x:v>
      </x:c>
      <x:c r="M11" s="13">
        <x:v>39</x:v>
      </x:c>
      <x:c r="N11" s="13">
        <x:v>39</x:v>
      </x:c>
      <x:c r="O11" s="13">
        <x:v>39</x:v>
      </x:c>
      <x:c r="P11" s="13">
        <x:v>38</x:v>
      </x:c>
      <x:c r="Q11" s="13" t="n">
        <x:f t="shared" si="0">COUNT(E11:P11)</x:f>
        <x:v>12</x:v>
      </x:c>
      <x:c r="R11" s="13" t="n">
        <x:f t="shared" si="1">SUM(E11:P11)</x:f>
        <x:v>449</x:v>
      </x:c>
      <x:c r="S11" s="14" t="n">
        <x:f>IF(Q11&gt;0,R11/Q11,"")</x:f>
        <x:v>37.416666666666664</x:v>
      </x:c>
      <x:c r="T11" s="15">
        <x:v>6127053</x:v>
      </x:c>
      <x:c r="U11" s="15">
        <x:v>6295189</x:v>
      </x:c>
      <x:c r="V11" s="14">
        <x:v>136543107</x:v>
      </x:c>
      <x:c r="W11" s="14" t="n">
        <x:f t="shared" si="2">IF(AND(Q11&gt;0,S11&gt;0,V11&lt;&gt;""),V11/S11/Q11,"")</x:f>
        <x:v>304104.91536748334</x:v>
      </x:c>
      <x:c r="X11" s="3" t="s">
        <x:v>39</x:v>
      </x:c>
    </x:row>
    <x:row r="12">
      <x:c r="A12" s="12" t="s">
        <x:v>40</x:v>
      </x:c>
      <x:c r="B12" s="3" t="s">
        <x:v>41</x:v>
      </x:c>
      <x:c r="C12" s="4" t="s">
        <x:v>42</x:v>
      </x:c>
      <x:c r="D12" s="5">
        <x:v>306</x:v>
      </x:c>
      <x:c r="E12" s="13">
        <x:v>8</x:v>
      </x:c>
      <x:c r="F12" s="13">
        <x:v>7</x:v>
      </x:c>
      <x:c r="G12" s="13">
        <x:v>7</x:v>
      </x:c>
      <x:c r="H12" s="13">
        <x:v>7</x:v>
      </x:c>
      <x:c r="I12" s="13">
        <x:v>7</x:v>
      </x:c>
      <x:c r="J12" s="13">
        <x:v>7</x:v>
      </x:c>
      <x:c r="K12" s="13">
        <x:v>7</x:v>
      </x:c>
      <x:c r="L12" s="13">
        <x:v>8</x:v>
      </x:c>
      <x:c r="M12" s="13">
        <x:v>8</x:v>
      </x:c>
      <x:c r="N12" s="13">
        <x:v>9</x:v>
      </x:c>
      <x:c r="O12" s="13">
        <x:v>9</x:v>
      </x:c>
      <x:c r="P12" s="13">
        <x:v>9</x:v>
      </x:c>
      <x:c r="Q12" s="13" t="n">
        <x:f t="shared" si="0">COUNT(E12:P12)</x:f>
        <x:v>12</x:v>
      </x:c>
      <x:c r="R12" s="13" t="n">
        <x:f t="shared" si="1">SUM(E12:P12)</x:f>
        <x:v>93</x:v>
      </x:c>
      <x:c r="S12" s="14" t="n">
        <x:f>IF(Q12&gt;0,R12/Q12,"")</x:f>
        <x:v>7.75</x:v>
      </x:c>
      <x:c r="T12" s="15">
        <x:v>9914486</x:v>
      </x:c>
      <x:c r="U12" s="15">
        <x:v>8100507</x:v>
      </x:c>
      <x:c r="V12" s="14">
        <x:v>48373968</x:v>
      </x:c>
      <x:c r="W12" s="14" t="n">
        <x:f t="shared" si="2">IF(AND(Q12&gt;0,S12&gt;0,V12&lt;&gt;""),V12/S12/Q12,"")</x:f>
        <x:v>520150.1935483871</x:v>
      </x:c>
      <x:c r="X12" s="3" t="s">
        <x:v>43</x:v>
      </x:c>
    </x:row>
    <x:row r="13">
      <x:c r="A13" s="12" t="s">
        <x:v>44</x:v>
      </x:c>
      <x:c r="B13" s="3" t="s">
        <x:v>41</x:v>
      </x:c>
      <x:c r="C13" s="4" t="s">
        <x:v>45</x:v>
      </x:c>
      <x:c r="D13" s="5">
        <x:v>306</x:v>
      </x:c>
      <x:c r="E13" s="13">
        <x:v>15</x:v>
      </x:c>
      <x:c r="F13" s="13">
        <x:v>15</x:v>
      </x:c>
      <x:c r="G13" s="13">
        <x:v>15</x:v>
      </x:c>
      <x:c r="H13" s="13">
        <x:v>15</x:v>
      </x:c>
      <x:c r="I13" s="13">
        <x:v>15</x:v>
      </x:c>
      <x:c r="J13" s="13">
        <x:v>15</x:v>
      </x:c>
      <x:c r="K13" s="13">
        <x:v>15</x:v>
      </x:c>
      <x:c r="L13" s="13">
        <x:v>15</x:v>
      </x:c>
      <x:c r="M13" s="13">
        <x:v>15</x:v>
      </x:c>
      <x:c r="N13" s="13">
        <x:v>15</x:v>
      </x:c>
      <x:c r="O13" s="13">
        <x:v>15</x:v>
      </x:c>
      <x:c r="P13" s="13">
        <x:v>14</x:v>
      </x:c>
      <x:c r="Q13" s="13" t="n">
        <x:f t="shared" si="0">COUNT(E13:P13)</x:f>
        <x:v>12</x:v>
      </x:c>
      <x:c r="R13" s="13" t="n">
        <x:f t="shared" si="1">SUM(E13:P13)</x:f>
        <x:v>179</x:v>
      </x:c>
      <x:c r="S13" s="14" t="n">
        <x:f>IF(Q13&gt;0,R13/Q13,"")</x:f>
        <x:v>14.916666666666666</x:v>
      </x:c>
      <x:c r="T13" s="15">
        <x:v>17207063</x:v>
      </x:c>
      <x:c r="U13" s="15">
        <x:v>13645850</x:v>
      </x:c>
      <x:c r="V13" s="14">
        <x:v>176431129</x:v>
      </x:c>
      <x:c r="W13" s="14" t="n">
        <x:f>IF(AND(Q13&gt;0,S13&gt;0,V13&lt;&gt;""),V13/S13/Q13,"")</x:f>
        <x:v>985648.7653631285</x:v>
      </x:c>
      <x:c r="X13" s="3" t="s">
        <x:v>46</x:v>
      </x:c>
    </x:row>
    <x:row r="14">
      <x:c r="A14" s="12" t="s">
        <x:v>47</x:v>
      </x:c>
      <x:c r="B14" s="3" t="s">
        <x:v>48</x:v>
      </x:c>
      <x:c r="C14" s="4" t="s">
        <x:v>49</x:v>
      </x:c>
      <x:c r="D14" s="5">
        <x:v>306</x:v>
      </x:c>
      <x:c r="E14" s="13">
        <x:v>13</x:v>
      </x:c>
      <x:c r="F14" s="13">
        <x:v>13</x:v>
      </x:c>
      <x:c r="G14" s="13">
        <x:v>12</x:v>
      </x:c>
      <x:c r="H14" s="13">
        <x:v>12</x:v>
      </x:c>
      <x:c r="I14" s="13">
        <x:v>12</x:v>
      </x:c>
      <x:c r="J14" s="13">
        <x:v>12</x:v>
      </x:c>
      <x:c r="K14" s="13">
        <x:v>11</x:v>
      </x:c>
      <x:c r="L14" s="13">
        <x:v>11</x:v>
      </x:c>
      <x:c r="M14" s="13">
        <x:v>11</x:v>
      </x:c>
      <x:c r="N14" s="13"/>
      <x:c r="O14" s="13"/>
      <x:c r="P14" s="13"/>
      <x:c r="Q14" s="13" t="n">
        <x:f t="shared" si="0">COUNT(E14:P14)</x:f>
        <x:v>9</x:v>
      </x:c>
      <x:c r="R14" s="13" t="n">
        <x:f t="shared" si="1">SUM(E14:P14)</x:f>
        <x:v>107</x:v>
      </x:c>
      <x:c r="S14" s="14" t="n">
        <x:f>IF(Q14&gt;0,R14/Q14,"")</x:f>
        <x:v>11.88888888888889</x:v>
      </x:c>
      <x:c r="T14" s="15">
        <x:v>8008979</x:v>
      </x:c>
      <x:c r="U14" s="15">
        <x:v>6264224</x:v>
      </x:c>
      <x:c r="V14" s="14">
        <x:v>90828269</x:v>
      </x:c>
      <x:c r="W14" s="14" t="n">
        <x:f>IF(AND(Q14&gt;0,S14&gt;0,V14&lt;&gt;""),V14/S14/Q14,"")</x:f>
        <x:v>848862.3271028037</x:v>
      </x:c>
      <x:c r="X14" s="3" t="s">
        <x:v>50</x:v>
      </x:c>
    </x:row>
    <x:row r="15">
      <x:c r="A15" s="12" t="s">
        <x:v>51</x:v>
      </x:c>
      <x:c r="B15" s="3" t="s">
        <x:v>52</x:v>
      </x:c>
      <x:c r="C15" s="4" t="s">
        <x:v>53</x:v>
      </x:c>
      <x:c r="D15" s="5">
        <x:v>306</x:v>
      </x:c>
      <x:c r="E15" s="13">
        <x:v>1</x:v>
      </x:c>
      <x:c r="F15" s="13">
        <x:v>1</x:v>
      </x:c>
      <x:c r="G15" s="13">
        <x:v>1</x:v>
      </x:c>
      <x:c r="H15" s="13">
        <x:v>1</x:v>
      </x:c>
      <x:c r="I15" s="13">
        <x:v>1</x:v>
      </x:c>
      <x:c r="J15" s="13">
        <x:v>1</x:v>
      </x:c>
      <x:c r="K15" s="13">
        <x:v>1</x:v>
      </x:c>
      <x:c r="L15" s="13">
        <x:v>1</x:v>
      </x:c>
      <x:c r="M15" s="13">
        <x:v>1</x:v>
      </x:c>
      <x:c r="N15" s="13">
        <x:v>2</x:v>
      </x:c>
      <x:c r="O15" s="13">
        <x:v>1</x:v>
      </x:c>
      <x:c r="P15" s="13">
        <x:v>1</x:v>
      </x:c>
      <x:c r="Q15" s="13" t="n">
        <x:f t="shared" si="0">COUNT(E15:P15)</x:f>
        <x:v>12</x:v>
      </x:c>
      <x:c r="R15" s="13" t="n">
        <x:f t="shared" si="1">SUM(E15:P15)</x:f>
        <x:v>13</x:v>
      </x:c>
      <x:c r="S15" s="14" t="n">
        <x:f>IF(Q15&gt;0,R15/Q15,"")</x:f>
        <x:v>1.0833333333333333</x:v>
      </x:c>
      <x:c r="T15" s="15">
        <x:v>703572</x:v>
      </x:c>
      <x:c r="U15" s="15">
        <x:v>479355</x:v>
      </x:c>
      <x:c r="V15" s="14">
        <x:v>8731818</x:v>
      </x:c>
      <x:c r="W15" s="14" t="n">
        <x:f>IF(AND(Q15&gt;0,S15&gt;0,V15&lt;&gt;""),V15/S15/Q15,"")</x:f>
        <x:v>671678.3076923077</x:v>
      </x:c>
      <x:c r="X15" s="3" t="s">
        <x:v>54</x:v>
      </x:c>
    </x:row>
    <x:row r="16">
      <x:c r="A16" s="12" t="s">
        <x:v>55</x:v>
      </x:c>
      <x:c r="B16" s="3" t="s">
        <x:v>56</x:v>
      </x:c>
      <x:c r="C16" s="4" t="s">
        <x:v>57</x:v>
      </x:c>
      <x:c r="D16" s="5">
        <x:v>306</x:v>
      </x:c>
      <x:c r="E16" s="13">
        <x:v>10</x:v>
      </x:c>
      <x:c r="F16" s="13">
        <x:v>10</x:v>
      </x:c>
      <x:c r="G16" s="13">
        <x:v>10</x:v>
      </x:c>
      <x:c r="H16" s="13">
        <x:v>10</x:v>
      </x:c>
      <x:c r="I16" s="13">
        <x:v>10</x:v>
      </x:c>
      <x:c r="J16" s="13">
        <x:v>10</x:v>
      </x:c>
      <x:c r="K16" s="13">
        <x:v>11</x:v>
      </x:c>
      <x:c r="L16" s="13">
        <x:v>11</x:v>
      </x:c>
      <x:c r="M16" s="13">
        <x:v>11</x:v>
      </x:c>
      <x:c r="N16" s="13">
        <x:v>11</x:v>
      </x:c>
      <x:c r="O16" s="13">
        <x:v>11</x:v>
      </x:c>
      <x:c r="P16" s="13">
        <x:v>11</x:v>
      </x:c>
      <x:c r="Q16" s="13" t="n">
        <x:f t="shared" si="0">COUNT(E16:P16)</x:f>
        <x:v>12</x:v>
      </x:c>
      <x:c r="R16" s="13" t="n">
        <x:f t="shared" si="1">SUM(E16:P16)</x:f>
        <x:v>126</x:v>
      </x:c>
      <x:c r="S16" s="14" t="n">
        <x:f>IF(Q16&gt;0,R16/Q16,"")</x:f>
        <x:v>10.5</x:v>
      </x:c>
      <x:c r="T16" s="15">
        <x:v>6252477</x:v>
      </x:c>
      <x:c r="U16" s="15">
        <x:v>4783150</x:v>
      </x:c>
      <x:c r="V16" s="14">
        <x:v>76450805</x:v>
      </x:c>
      <x:c r="W16" s="14" t="n">
        <x:f>IF(AND(Q16&gt;0,S16&gt;0,V16&lt;&gt;""),V16/S16/Q16,"")</x:f>
        <x:v>606752.4206349206</x:v>
      </x:c>
      <x:c r="X16" s="3" t="s">
        <x:v>58</x:v>
      </x:c>
    </x:row>
    <x:row r="17">
      <x:c r="A17" s="12" t="s">
        <x:v>59</x:v>
      </x:c>
      <x:c r="B17" s="3" t="s">
        <x:v>60</x:v>
      </x:c>
      <x:c r="C17" s="4" t="s">
        <x:v>61</x:v>
      </x:c>
      <x:c r="D17" s="5">
        <x:v>306</x:v>
      </x:c>
      <x:c r="E17" s="13">
        <x:v>65</x:v>
      </x:c>
      <x:c r="F17" s="13">
        <x:v>57</x:v>
      </x:c>
      <x:c r="G17" s="13">
        <x:v>41</x:v>
      </x:c>
      <x:c r="H17" s="13">
        <x:v>36</x:v>
      </x:c>
      <x:c r="I17" s="13">
        <x:v>36</x:v>
      </x:c>
      <x:c r="J17" s="13">
        <x:v>27</x:v>
      </x:c>
      <x:c r="K17" s="13">
        <x:v>25</x:v>
      </x:c>
      <x:c r="L17" s="13">
        <x:v>23</x:v>
      </x:c>
      <x:c r="M17" s="13">
        <x:v>22</x:v>
      </x:c>
      <x:c r="N17" s="13">
        <x:v>21</x:v>
      </x:c>
      <x:c r="O17" s="13">
        <x:v>20</x:v>
      </x:c>
      <x:c r="P17" s="13">
        <x:v>22</x:v>
      </x:c>
      <x:c r="Q17" s="13" t="n">
        <x:f t="shared" si="0">COUNT(E17:P17)</x:f>
        <x:v>12</x:v>
      </x:c>
      <x:c r="R17" s="13" t="n">
        <x:f t="shared" si="1">SUM(E17:P17)</x:f>
        <x:v>395</x:v>
      </x:c>
      <x:c r="S17" s="14" t="n">
        <x:f>IF(Q17&gt;0,R17/Q17,"")</x:f>
        <x:v>32.916666666666664</x:v>
      </x:c>
      <x:c r="T17" s="15">
        <x:v>19215756</x:v>
      </x:c>
      <x:c r="U17" s="15">
        <x:v>13750451</x:v>
      </x:c>
      <x:c r="V17" s="14">
        <x:v>236555199</x:v>
      </x:c>
      <x:c r="W17" s="14" t="n">
        <x:f>IF(AND(Q17&gt;0,S17&gt;0,V17&lt;&gt;""),V17/S17/Q17,"")</x:f>
        <x:v>598873.9215189874</x:v>
      </x:c>
      <x:c r="X17" s="3" t="s">
        <x:v>62</x:v>
      </x:c>
    </x:row>
    <x:row r="18">
      <x:c r="A18" s="12" t="s">
        <x:v>63</x:v>
      </x:c>
      <x:c r="B18" s="3" t="s">
        <x:v>64</x:v>
      </x:c>
      <x:c r="C18" s="4" t="s">
        <x:v>65</x:v>
      </x:c>
      <x:c r="D18" s="5">
        <x:v>306</x:v>
      </x:c>
      <x:c r="E18" s="13"/>
      <x:c r="F18" s="13"/>
      <x:c r="G18" s="13"/>
      <x:c r="H18" s="13">
        <x:v>4</x:v>
      </x:c>
      <x:c r="I18" s="13">
        <x:v>4</x:v>
      </x:c>
      <x:c r="J18" s="13">
        <x:v>4</x:v>
      </x:c>
      <x:c r="K18" s="13"/>
      <x:c r="L18" s="13"/>
      <x:c r="M18" s="13"/>
      <x:c r="N18" s="13"/>
      <x:c r="O18" s="13"/>
      <x:c r="P18" s="13"/>
      <x:c r="Q18" s="13" t="n">
        <x:f t="shared" si="0">COUNT(E18:P18)</x:f>
        <x:v>3</x:v>
      </x:c>
      <x:c r="R18" s="13" t="n">
        <x:f t="shared" si="1">SUM(E18:P18)</x:f>
        <x:v>12</x:v>
      </x:c>
      <x:c r="S18" s="14" t="n">
        <x:f>IF(Q18&gt;0,R18/Q18,"")</x:f>
        <x:v>4</x:v>
      </x:c>
      <x:c r="T18" s="15">
        <x:v>569317</x:v>
      </x:c>
      <x:c r="U18" s="15">
        <x:v>405009</x:v>
      </x:c>
      <x:c r="V18" s="14">
        <x:v>7169256</x:v>
      </x:c>
      <x:c r="W18" s="14" t="n">
        <x:f>IF(AND(Q18&gt;0,S18&gt;0,V18&lt;&gt;""),V18/S18/Q18,"")</x:f>
        <x:v>597438</x:v>
      </x:c>
      <x:c r="X18" s="3" t="s">
        <x:v>66</x:v>
      </x:c>
    </x:row>
    <x:row r="19">
      <x:c r="A19" s="12" t="s">
        <x:v>67</x:v>
      </x:c>
      <x:c r="B19" s="3" t="s">
        <x:v>68</x:v>
      </x:c>
      <x:c r="C19" s="4" t="s">
        <x:v>69</x:v>
      </x:c>
      <x:c r="D19" s="5">
        <x:v>306</x:v>
      </x:c>
      <x:c r="E19" s="13">
        <x:v>10</x:v>
      </x:c>
      <x:c r="F19" s="13">
        <x:v>10</x:v>
      </x:c>
      <x:c r="G19" s="13">
        <x:v>10</x:v>
      </x:c>
      <x:c r="H19" s="13">
        <x:v>10</x:v>
      </x:c>
      <x:c r="I19" s="13">
        <x:v>10</x:v>
      </x:c>
      <x:c r="J19" s="13">
        <x:v>10</x:v>
      </x:c>
      <x:c r="K19" s="13">
        <x:v>10</x:v>
      </x:c>
      <x:c r="L19" s="13">
        <x:v>9</x:v>
      </x:c>
      <x:c r="M19" s="13">
        <x:v>8</x:v>
      </x:c>
      <x:c r="N19" s="13">
        <x:v>9</x:v>
      </x:c>
      <x:c r="O19" s="13">
        <x:v>9</x:v>
      </x:c>
      <x:c r="P19" s="13">
        <x:v>9</x:v>
      </x:c>
      <x:c r="Q19" s="13" t="n">
        <x:f t="shared" si="0">COUNT(E19:P19)</x:f>
        <x:v>12</x:v>
      </x:c>
      <x:c r="R19" s="13" t="n">
        <x:f t="shared" si="1">SUM(E19:P19)</x:f>
        <x:v>114</x:v>
      </x:c>
      <x:c r="S19" s="14" t="n">
        <x:f>IF(Q19&gt;0,R19/Q19,"")</x:f>
        <x:v>9.5</x:v>
      </x:c>
      <x:c r="T19" s="15">
        <x:v>7352534</x:v>
      </x:c>
      <x:c r="U19" s="15">
        <x:v>2113676</x:v>
      </x:c>
      <x:c r="V19" s="14">
        <x:v>67115800</x:v>
      </x:c>
      <x:c r="W19" s="14" t="n">
        <x:f>IF(AND(Q19&gt;0,S19&gt;0,V19&lt;&gt;""),V19/S19/Q19,"")</x:f>
        <x:v>588735.0877192983</x:v>
      </x:c>
      <x:c r="X19" s="3" t="s">
        <x:v>70</x:v>
      </x:c>
    </x:row>
    <x:row r="20">
      <x:c r="A20" s="12" t="s">
        <x:v>71</x:v>
      </x:c>
      <x:c r="B20" s="3" t="s">
        <x:v>72</x:v>
      </x:c>
      <x:c r="C20" s="4" t="s">
        <x:v>73</x:v>
      </x:c>
      <x:c r="D20" s="5">
        <x:v>306</x:v>
      </x:c>
      <x:c r="E20" s="13"/>
      <x:c r="F20" s="13"/>
      <x:c r="G20" s="13"/>
      <x:c r="H20" s="13"/>
      <x:c r="I20" s="13"/>
      <x:c r="J20" s="13"/>
      <x:c r="K20" s="13"/>
      <x:c r="L20" s="13"/>
      <x:c r="M20" s="13"/>
      <x:c r="N20" s="13">
        <x:v>21</x:v>
      </x:c>
      <x:c r="O20" s="13">
        <x:v>20</x:v>
      </x:c>
      <x:c r="P20" s="13">
        <x:v>20</x:v>
      </x:c>
      <x:c r="Q20" s="13" t="n">
        <x:f t="shared" si="0">COUNT(E20:P20)</x:f>
        <x:v>3</x:v>
      </x:c>
      <x:c r="R20" s="13" t="n">
        <x:f t="shared" si="1">SUM(E20:P20)</x:f>
        <x:v>61</x:v>
      </x:c>
      <x:c r="S20" s="14" t="n">
        <x:f>IF(Q20&gt;0,R20/Q20,"")</x:f>
        <x:v>20.333333333333332</x:v>
      </x:c>
      <x:c r="T20" s="15">
        <x:v>3250073</x:v>
      </x:c>
      <x:c r="U20" s="15">
        <x:v>2083169</x:v>
      </x:c>
      <x:c r="V20" s="14">
        <x:v>34364521</x:v>
      </x:c>
      <x:c r="W20" s="14" t="n">
        <x:f>IF(AND(Q20&gt;0,S20&gt;0,V20&lt;&gt;""),V20/S20/Q20,"")</x:f>
        <x:v>563352.8032786886</x:v>
      </x:c>
      <x:c r="X20" s="3" t="s">
        <x:v>74</x:v>
      </x:c>
    </x:row>
    <x:row r="21">
      <x:c r="A21" s="12" t="s">
        <x:v>75</x:v>
      </x:c>
      <x:c r="B21" s="3" t="s">
        <x:v>76</x:v>
      </x:c>
      <x:c r="C21" s="4" t="s">
        <x:v>77</x:v>
      </x:c>
      <x:c r="D21" s="5">
        <x:v>306</x:v>
      </x:c>
      <x:c r="E21" s="13">
        <x:v>3</x:v>
      </x:c>
      <x:c r="F21" s="13">
        <x:v>3</x:v>
      </x:c>
      <x:c r="G21" s="13">
        <x:v>3</x:v>
      </x:c>
      <x:c r="H21" s="13">
        <x:v>3</x:v>
      </x:c>
      <x:c r="I21" s="13">
        <x:v>3</x:v>
      </x:c>
      <x:c r="J21" s="13">
        <x:v>3</x:v>
      </x:c>
      <x:c r="K21" s="13">
        <x:v>3</x:v>
      </x:c>
      <x:c r="L21" s="13">
        <x:v>2</x:v>
      </x:c>
      <x:c r="M21" s="13">
        <x:v>2</x:v>
      </x:c>
      <x:c r="N21" s="13">
        <x:v>2</x:v>
      </x:c>
      <x:c r="O21" s="13">
        <x:v>2</x:v>
      </x:c>
      <x:c r="P21" s="13">
        <x:v>2</x:v>
      </x:c>
      <x:c r="Q21" s="13" t="n">
        <x:f t="shared" si="0">COUNT(E21:P21)</x:f>
        <x:v>12</x:v>
      </x:c>
      <x:c r="R21" s="13" t="n">
        <x:f t="shared" si="1">SUM(E21:P21)</x:f>
        <x:v>31</x:v>
      </x:c>
      <x:c r="S21" s="14" t="n">
        <x:f>IF(Q21&gt;0,R21/Q21,"")</x:f>
        <x:v>2.5833333333333335</x:v>
      </x:c>
      <x:c r="T21" s="15">
        <x:v>1189054</x:v>
      </x:c>
      <x:c r="U21" s="15">
        <x:v>1116562</x:v>
      </x:c>
      <x:c r="V21" s="14">
        <x:v>17330288</x:v>
      </x:c>
      <x:c r="W21" s="14" t="n">
        <x:f>IF(AND(Q21&gt;0,S21&gt;0,V21&lt;&gt;""),V21/S21/Q21,"")</x:f>
        <x:v>559041.5483870967</x:v>
      </x:c>
      <x:c r="X21" s="3" t="s">
        <x:v>78</x:v>
      </x:c>
    </x:row>
    <x:row r="22">
      <x:c r="A22" s="12" t="s">
        <x:v>71</x:v>
      </x:c>
      <x:c r="B22" s="3" t="s">
        <x:v>72</x:v>
      </x:c>
      <x:c r="C22" s="4" t="s">
        <x:v>79</x:v>
      </x:c>
      <x:c r="D22" s="5">
        <x:v>306</x:v>
      </x:c>
      <x:c r="E22" s="13">
        <x:v>8</x:v>
      </x:c>
      <x:c r="F22" s="13">
        <x:v>9</x:v>
      </x:c>
      <x:c r="G22" s="13">
        <x:v>9</x:v>
      </x:c>
      <x:c r="H22" s="13">
        <x:v>27</x:v>
      </x:c>
      <x:c r="I22" s="13">
        <x:v>29</x:v>
      </x:c>
      <x:c r="J22" s="13">
        <x:v>28</x:v>
      </x:c>
      <x:c r="K22" s="13">
        <x:v>40</x:v>
      </x:c>
      <x:c r="L22" s="13">
        <x:v>40</x:v>
      </x:c>
      <x:c r="M22" s="13">
        <x:v>42</x:v>
      </x:c>
      <x:c r="N22" s="13">
        <x:v>44</x:v>
      </x:c>
      <x:c r="O22" s="13">
        <x:v>15</x:v>
      </x:c>
      <x:c r="P22" s="13">
        <x:v>14</x:v>
      </x:c>
      <x:c r="Q22" s="13" t="n">
        <x:f t="shared" si="0">COUNT(E22:P22)</x:f>
        <x:v>12</x:v>
      </x:c>
      <x:c r="R22" s="13" t="n">
        <x:f t="shared" si="1">SUM(E22:P22)</x:f>
        <x:v>305</x:v>
      </x:c>
      <x:c r="S22" s="14" t="n">
        <x:f>IF(Q22&gt;0,R22/Q22,"")</x:f>
        <x:v>25.416666666666668</x:v>
      </x:c>
      <x:c r="T22" s="15">
        <x:v>13011940</x:v>
      </x:c>
      <x:c r="U22" s="15">
        <x:v>9488384</x:v>
      </x:c>
      <x:c r="V22" s="14">
        <x:v>162851338</x:v>
      </x:c>
      <x:c r="W22" s="14" t="n">
        <x:f>IF(AND(Q22&gt;0,S22&gt;0,V22&lt;&gt;""),V22/S22/Q22,"")</x:f>
        <x:v>533938.813114754</x:v>
      </x:c>
      <x:c r="X22" s="3" t="s">
        <x:v>80</x:v>
      </x:c>
    </x:row>
    <x:row r="23">
      <x:c r="A23" s="12" t="s">
        <x:v>81</x:v>
      </x:c>
      <x:c r="B23" s="3" t="s">
        <x:v>82</x:v>
      </x:c>
      <x:c r="C23" s="4" t="s">
        <x:v>83</x:v>
      </x:c>
      <x:c r="D23" s="5">
        <x:v>306</x:v>
      </x:c>
      <x:c r="E23" s="13">
        <x:v>2</x:v>
      </x:c>
      <x:c r="F23" s="13">
        <x:v>2</x:v>
      </x:c>
      <x:c r="G23" s="13">
        <x:v>2</x:v>
      </x:c>
      <x:c r="H23" s="13">
        <x:v>1</x:v>
      </x:c>
      <x:c r="I23" s="13">
        <x:v>1</x:v>
      </x:c>
      <x:c r="J23" s="13">
        <x:v>1</x:v>
      </x:c>
      <x:c r="K23" s="13"/>
      <x:c r="L23" s="13"/>
      <x:c r="M23" s="13"/>
      <x:c r="N23" s="13"/>
      <x:c r="O23" s="13"/>
      <x:c r="P23" s="13"/>
      <x:c r="Q23" s="13" t="n">
        <x:f t="shared" si="0">COUNT(E23:P23)</x:f>
        <x:v>6</x:v>
      </x:c>
      <x:c r="R23" s="13" t="n">
        <x:f t="shared" si="1">SUM(E23:P23)</x:f>
        <x:v>9</x:v>
      </x:c>
      <x:c r="S23" s="14" t="n">
        <x:f>IF(Q23&gt;0,R23/Q23,"")</x:f>
        <x:v>1.5</x:v>
      </x:c>
      <x:c r="T23" s="15">
        <x:v>367451</x:v>
      </x:c>
      <x:c r="U23" s="15">
        <x:v>270274</x:v>
      </x:c>
      <x:c r="V23" s="14">
        <x:v>4754408</x:v>
      </x:c>
      <x:c r="W23" s="14" t="n">
        <x:f>IF(AND(Q23&gt;0,S23&gt;0,V23&lt;&gt;""),V23/S23/Q23,"")</x:f>
        <x:v>528267.5555555556</x:v>
      </x:c>
      <x:c r="X23" s="3" t="s">
        <x:v>84</x:v>
      </x:c>
    </x:row>
    <x:row r="24">
      <x:c r="A24" s="12" t="s">
        <x:v>19</x:v>
      </x:c>
      <x:c r="B24" s="3" t="s">
        <x:v>85</x:v>
      </x:c>
      <x:c r="C24" s="4" t="s">
        <x:v>86</x:v>
      </x:c>
      <x:c r="D24" s="5">
        <x:v>306</x:v>
      </x:c>
      <x:c r="E24" s="13">
        <x:v>7</x:v>
      </x:c>
      <x:c r="F24" s="13">
        <x:v>7</x:v>
      </x:c>
      <x:c r="G24" s="13">
        <x:v>7</x:v>
      </x:c>
      <x:c r="H24" s="13">
        <x:v>7</x:v>
      </x:c>
      <x:c r="I24" s="13">
        <x:v>7</x:v>
      </x:c>
      <x:c r="J24" s="13">
        <x:v>4</x:v>
      </x:c>
      <x:c r="K24" s="13">
        <x:v>5</x:v>
      </x:c>
      <x:c r="L24" s="13">
        <x:v>5</x:v>
      </x:c>
      <x:c r="M24" s="13">
        <x:v>5</x:v>
      </x:c>
      <x:c r="N24" s="13">
        <x:v>5</x:v>
      </x:c>
      <x:c r="O24" s="13">
        <x:v>4</x:v>
      </x:c>
      <x:c r="P24" s="13">
        <x:v>4</x:v>
      </x:c>
      <x:c r="Q24" s="13" t="n">
        <x:f t="shared" si="0">COUNT(E24:P24)</x:f>
        <x:v>12</x:v>
      </x:c>
      <x:c r="R24" s="13" t="n">
        <x:f t="shared" si="1">SUM(E24:P24)</x:f>
        <x:v>67</x:v>
      </x:c>
      <x:c r="S24" s="14" t="n">
        <x:f>IF(Q24&gt;0,R24/Q24,"")</x:f>
        <x:v>5.583333333333333</x:v>
      </x:c>
      <x:c r="T24" s="15">
        <x:v>2676900</x:v>
      </x:c>
      <x:c r="U24" s="15">
        <x:v>1882009</x:v>
      </x:c>
      <x:c r="V24" s="14">
        <x:v>34922949</x:v>
      </x:c>
      <x:c r="W24" s="14" t="n">
        <x:f>IF(AND(Q24&gt;0,S24&gt;0,V24&lt;&gt;""),V24/S24/Q24,"")</x:f>
        <x:v>521238.04477611947</x:v>
      </x:c>
      <x:c r="X24" s="3" t="s">
        <x:v>87</x:v>
      </x:c>
    </x:row>
    <x:row r="25">
      <x:c r="A25" s="12" t="s">
        <x:v>88</x:v>
      </x:c>
      <x:c r="B25" s="3" t="s">
        <x:v>89</x:v>
      </x:c>
      <x:c r="C25" s="4" t="s">
        <x:v>90</x:v>
      </x:c>
      <x:c r="D25" s="5">
        <x:v>306</x:v>
      </x:c>
      <x:c r="E25" s="13">
        <x:v>6</x:v>
      </x:c>
      <x:c r="F25" s="13">
        <x:v>6</x:v>
      </x:c>
      <x:c r="G25" s="13">
        <x:v>6</x:v>
      </x:c>
      <x:c r="H25" s="13">
        <x:v>6</x:v>
      </x:c>
      <x:c r="I25" s="13">
        <x:v>6</x:v>
      </x:c>
      <x:c r="J25" s="13">
        <x:v>6</x:v>
      </x:c>
      <x:c r="K25" s="13">
        <x:v>5</x:v>
      </x:c>
      <x:c r="L25" s="13">
        <x:v>5</x:v>
      </x:c>
      <x:c r="M25" s="13">
        <x:v>5</x:v>
      </x:c>
      <x:c r="N25" s="13">
        <x:v>4</x:v>
      </x:c>
      <x:c r="O25" s="13">
        <x:v>4</x:v>
      </x:c>
      <x:c r="P25" s="13">
        <x:v>4</x:v>
      </x:c>
      <x:c r="Q25" s="13" t="n">
        <x:f t="shared" si="0">COUNT(E25:P25)</x:f>
        <x:v>12</x:v>
      </x:c>
      <x:c r="R25" s="13" t="n">
        <x:f t="shared" si="1">SUM(E25:P25)</x:f>
        <x:v>63</x:v>
      </x:c>
      <x:c r="S25" s="14" t="n">
        <x:f>IF(Q25&gt;0,R25/Q25,"")</x:f>
        <x:v>5.25</x:v>
      </x:c>
      <x:c r="T25" s="15">
        <x:v>579891</x:v>
      </x:c>
      <x:c r="U25" s="15">
        <x:v>1602345</x:v>
      </x:c>
      <x:c r="V25" s="14">
        <x:v>31371168</x:v>
      </x:c>
      <x:c r="W25" s="14" t="n">
        <x:f>IF(AND(Q25&gt;0,S25&gt;0,V25&lt;&gt;""),V25/S25/Q25,"")</x:f>
        <x:v>497955.04761904763</x:v>
      </x:c>
      <x:c r="X25" s="3" t="s">
        <x:v>91</x:v>
      </x:c>
    </x:row>
    <x:row r="26">
      <x:c r="A26" s="12" t="s">
        <x:v>92</x:v>
      </x:c>
      <x:c r="B26" s="3" t="s">
        <x:v>93</x:v>
      </x:c>
      <x:c r="C26" s="4" t="s">
        <x:v>94</x:v>
      </x:c>
      <x:c r="D26" s="5">
        <x:v>306</x:v>
      </x:c>
      <x:c r="E26" s="13">
        <x:v>24</x:v>
      </x:c>
      <x:c r="F26" s="13">
        <x:v>27</x:v>
      </x:c>
      <x:c r="G26" s="13">
        <x:v>30</x:v>
      </x:c>
      <x:c r="H26" s="13">
        <x:v>31</x:v>
      </x:c>
      <x:c r="I26" s="13">
        <x:v>31</x:v>
      </x:c>
      <x:c r="J26" s="13">
        <x:v>33</x:v>
      </x:c>
      <x:c r="K26" s="13">
        <x:v>33</x:v>
      </x:c>
      <x:c r="L26" s="13">
        <x:v>33</x:v>
      </x:c>
      <x:c r="M26" s="13">
        <x:v>31</x:v>
      </x:c>
      <x:c r="N26" s="13">
        <x:v>31</x:v>
      </x:c>
      <x:c r="O26" s="13">
        <x:v>31</x:v>
      </x:c>
      <x:c r="P26" s="13">
        <x:v>28</x:v>
      </x:c>
      <x:c r="Q26" s="13" t="n">
        <x:f t="shared" si="0">COUNT(E26:P26)</x:f>
        <x:v>12</x:v>
      </x:c>
      <x:c r="R26" s="13" t="n">
        <x:f t="shared" si="1">SUM(E26:P26)</x:f>
        <x:v>363</x:v>
      </x:c>
      <x:c r="S26" s="14" t="n">
        <x:f>IF(Q26&gt;0,R26/Q26,"")</x:f>
        <x:v>30.25</x:v>
      </x:c>
      <x:c r="T26" s="15">
        <x:v>12587841</x:v>
      </x:c>
      <x:c r="U26" s="15">
        <x:v>9424148</x:v>
      </x:c>
      <x:c r="V26" s="14">
        <x:v>161815620</x:v>
      </x:c>
      <x:c r="W26" s="14" t="n">
        <x:f>IF(AND(Q26&gt;0,S26&gt;0,V26&lt;&gt;""),V26/S26/Q26,"")</x:f>
        <x:v>445773.05785123963</x:v>
      </x:c>
      <x:c r="X26" s="3" t="s">
        <x:v>95</x:v>
      </x:c>
    </x:row>
    <x:row r="27">
      <x:c r="A27" s="12" t="s">
        <x:v>25</x:v>
      </x:c>
      <x:c r="B27" s="3" t="s">
        <x:v>26</x:v>
      </x:c>
      <x:c r="C27" s="4" t="s">
        <x:v>96</x:v>
      </x:c>
      <x:c r="D27" s="5">
        <x:v>306</x:v>
      </x:c>
      <x:c r="E27" s="13">
        <x:v>124</x:v>
      </x:c>
      <x:c r="F27" s="13">
        <x:v>124</x:v>
      </x:c>
      <x:c r="G27" s="13">
        <x:v>123</x:v>
      </x:c>
      <x:c r="H27" s="13">
        <x:v>123</x:v>
      </x:c>
      <x:c r="I27" s="13">
        <x:v>118</x:v>
      </x:c>
      <x:c r="J27" s="13">
        <x:v>120</x:v>
      </x:c>
      <x:c r="K27" s="13">
        <x:v>80</x:v>
      </x:c>
      <x:c r="L27" s="13">
        <x:v>113</x:v>
      </x:c>
      <x:c r="M27" s="13">
        <x:v>121</x:v>
      </x:c>
      <x:c r="N27" s="13">
        <x:v>126</x:v>
      </x:c>
      <x:c r="O27" s="13">
        <x:v>126</x:v>
      </x:c>
      <x:c r="P27" s="13">
        <x:v>125</x:v>
      </x:c>
      <x:c r="Q27" s="13" t="n">
        <x:f t="shared" si="0">COUNT(E27:P27)</x:f>
        <x:v>12</x:v>
      </x:c>
      <x:c r="R27" s="13" t="n">
        <x:f t="shared" si="1">SUM(E27:P27)</x:f>
        <x:v>1423</x:v>
      </x:c>
      <x:c r="S27" s="14" t="n">
        <x:f>IF(Q27&gt;0,R27/Q27,"")</x:f>
        <x:v>118.58333333333333</x:v>
      </x:c>
      <x:c r="T27" s="15">
        <x:v>43731174</x:v>
      </x:c>
      <x:c r="U27" s="15">
        <x:v>29958667</x:v>
      </x:c>
      <x:c r="V27" s="14">
        <x:v>620504395</x:v>
      </x:c>
      <x:c r="W27" s="14" t="n">
        <x:f>IF(AND(Q27&gt;0,S27&gt;0,V27&lt;&gt;""),V27/S27/Q27,"")</x:f>
        <x:v>436053.6858749122</x:v>
      </x:c>
      <x:c r="X27" s="3" t="s">
        <x:v>97</x:v>
      </x:c>
    </x:row>
    <x:row r="28">
      <x:c r="A28" s="12" t="s">
        <x:v>98</x:v>
      </x:c>
      <x:c r="B28" s="3" t="s">
        <x:v>99</x:v>
      </x:c>
      <x:c r="C28" s="4" t="s">
        <x:v>100</x:v>
      </x:c>
      <x:c r="D28" s="5">
        <x:v>306</x:v>
      </x:c>
      <x:c r="E28" s="13"/>
      <x:c r="F28" s="13"/>
      <x:c r="G28" s="13"/>
      <x:c r="H28" s="13"/>
      <x:c r="I28" s="13"/>
      <x:c r="J28" s="13"/>
      <x:c r="K28" s="13"/>
      <x:c r="L28" s="13"/>
      <x:c r="M28" s="13"/>
      <x:c r="N28" s="13">
        <x:v>7</x:v>
      </x:c>
      <x:c r="O28" s="13">
        <x:v>7</x:v>
      </x:c>
      <x:c r="P28" s="13">
        <x:v>7</x:v>
      </x:c>
      <x:c r="Q28" s="13" t="n">
        <x:f t="shared" si="0">COUNT(E28:P28)</x:f>
        <x:v>3</x:v>
      </x:c>
      <x:c r="R28" s="13" t="n">
        <x:f t="shared" si="1">SUM(E28:P28)</x:f>
        <x:v>21</x:v>
      </x:c>
      <x:c r="S28" s="14" t="n">
        <x:f>IF(Q28&gt;0,R28/Q28,"")</x:f>
        <x:v>7</x:v>
      </x:c>
      <x:c r="T28" s="15">
        <x:v>691062</x:v>
      </x:c>
      <x:c r="U28" s="15">
        <x:v>187173</x:v>
      </x:c>
      <x:c r="V28" s="14">
        <x:v>9086442</x:v>
      </x:c>
      <x:c r="W28" s="14" t="n">
        <x:f>IF(AND(Q28&gt;0,S28&gt;0,V28&lt;&gt;""),V28/S28/Q28,"")</x:f>
        <x:v>432687.7142857143</x:v>
      </x:c>
      <x:c r="X28" s="3" t="s">
        <x:v>101</x:v>
      </x:c>
    </x:row>
    <x:row r="29">
      <x:c r="A29" s="12" t="s">
        <x:v>25</x:v>
      </x:c>
      <x:c r="B29" s="3" t="s">
        <x:v>26</x:v>
      </x:c>
      <x:c r="C29" s="4" t="s">
        <x:v>102</x:v>
      </x:c>
      <x:c r="D29" s="5">
        <x:v>306</x:v>
      </x:c>
      <x:c r="E29" s="13">
        <x:v>66</x:v>
      </x:c>
      <x:c r="F29" s="13">
        <x:v>66</x:v>
      </x:c>
      <x:c r="G29" s="13">
        <x:v>66</x:v>
      </x:c>
      <x:c r="H29" s="13">
        <x:v>62</x:v>
      </x:c>
      <x:c r="I29" s="13">
        <x:v>62</x:v>
      </x:c>
      <x:c r="J29" s="13">
        <x:v>62</x:v>
      </x:c>
      <x:c r="K29" s="13">
        <x:v>61</x:v>
      </x:c>
      <x:c r="L29" s="13">
        <x:v>61</x:v>
      </x:c>
      <x:c r="M29" s="13">
        <x:v>61</x:v>
      </x:c>
      <x:c r="N29" s="13">
        <x:v>61</x:v>
      </x:c>
      <x:c r="O29" s="13">
        <x:v>61</x:v>
      </x:c>
      <x:c r="P29" s="13">
        <x:v>61</x:v>
      </x:c>
      <x:c r="Q29" s="13" t="n">
        <x:f t="shared" si="0">COUNT(E29:P29)</x:f>
        <x:v>12</x:v>
      </x:c>
      <x:c r="R29" s="13" t="n">
        <x:f t="shared" si="1">SUM(E29:P29)</x:f>
        <x:v>750</x:v>
      </x:c>
      <x:c r="S29" s="14" t="n">
        <x:f>IF(Q29&gt;0,R29/Q29,"")</x:f>
        <x:v>62.5</x:v>
      </x:c>
      <x:c r="T29" s="15">
        <x:v>22122217</x:v>
      </x:c>
      <x:c r="U29" s="15">
        <x:v>15645540</x:v>
      </x:c>
      <x:c r="V29" s="14">
        <x:v>317239155</x:v>
      </x:c>
      <x:c r="W29" s="14" t="n">
        <x:f>IF(AND(Q29&gt;0,S29&gt;0,V29&lt;&gt;""),V29/S29/Q29,"")</x:f>
        <x:v>422985.54000000004</x:v>
      </x:c>
      <x:c r="X29" s="3" t="s">
        <x:v>103</x:v>
      </x:c>
    </x:row>
    <x:row r="30">
      <x:c r="A30" s="12" t="s">
        <x:v>104</x:v>
      </x:c>
      <x:c r="B30" s="3" t="s">
        <x:v>105</x:v>
      </x:c>
      <x:c r="C30" s="4" t="s">
        <x:v>106</x:v>
      </x:c>
      <x:c r="D30" s="5">
        <x:v>306</x:v>
      </x:c>
      <x:c r="E30" s="13">
        <x:v>5</x:v>
      </x:c>
      <x:c r="F30" s="13">
        <x:v>5</x:v>
      </x:c>
      <x:c r="G30" s="13">
        <x:v>5</x:v>
      </x:c>
      <x:c r="H30" s="13">
        <x:v>5</x:v>
      </x:c>
      <x:c r="I30" s="13">
        <x:v>15</x:v>
      </x:c>
      <x:c r="J30" s="13">
        <x:v>22</x:v>
      </x:c>
      <x:c r="K30" s="13">
        <x:v>25</x:v>
      </x:c>
      <x:c r="L30" s="13">
        <x:v>25</x:v>
      </x:c>
      <x:c r="M30" s="13">
        <x:v>25</x:v>
      </x:c>
      <x:c r="N30" s="13">
        <x:v>4</x:v>
      </x:c>
      <x:c r="O30" s="13">
        <x:v>4</x:v>
      </x:c>
      <x:c r="P30" s="13">
        <x:v>4</x:v>
      </x:c>
      <x:c r="Q30" s="13" t="n">
        <x:f t="shared" si="0">COUNT(E30:P30)</x:f>
        <x:v>12</x:v>
      </x:c>
      <x:c r="R30" s="13" t="n">
        <x:f t="shared" si="1">SUM(E30:P30)</x:f>
        <x:v>144</x:v>
      </x:c>
      <x:c r="S30" s="14" t="n">
        <x:f>IF(Q30&gt;0,R30/Q30,"")</x:f>
        <x:v>12</x:v>
      </x:c>
      <x:c r="T30" s="15">
        <x:v>4674348</x:v>
      </x:c>
      <x:c r="U30" s="15">
        <x:v>4008050</x:v>
      </x:c>
      <x:c r="V30" s="14">
        <x:v>60400000</x:v>
      </x:c>
      <x:c r="W30" s="14" t="n">
        <x:f>IF(AND(Q30&gt;0,S30&gt;0,V30&lt;&gt;""),V30/S30/Q30,"")</x:f>
        <x:v>419444.44444444444</x:v>
      </x:c>
      <x:c r="X30" s="3" t="s">
        <x:v>107</x:v>
      </x:c>
    </x:row>
    <x:row r="31">
      <x:c r="A31" s="12" t="s">
        <x:v>108</x:v>
      </x:c>
      <x:c r="B31" s="3" t="s">
        <x:v>109</x:v>
      </x:c>
      <x:c r="C31" s="4" t="s">
        <x:v>110</x:v>
      </x:c>
      <x:c r="D31" s="5">
        <x:v>306</x:v>
      </x:c>
      <x:c r="E31" s="13">
        <x:v>21</x:v>
      </x:c>
      <x:c r="F31" s="13">
        <x:v>21</x:v>
      </x:c>
      <x:c r="G31" s="13">
        <x:v>43</x:v>
      </x:c>
      <x:c r="H31" s="13">
        <x:v>45</x:v>
      </x:c>
      <x:c r="I31" s="13">
        <x:v>43</x:v>
      </x:c>
      <x:c r="J31" s="13">
        <x:v>49</x:v>
      </x:c>
      <x:c r="K31" s="13">
        <x:v>38</x:v>
      </x:c>
      <x:c r="L31" s="13">
        <x:v>39</x:v>
      </x:c>
      <x:c r="M31" s="13">
        <x:v>36</x:v>
      </x:c>
      <x:c r="N31" s="13">
        <x:v>32</x:v>
      </x:c>
      <x:c r="O31" s="13">
        <x:v>23</x:v>
      </x:c>
      <x:c r="P31" s="13">
        <x:v>21</x:v>
      </x:c>
      <x:c r="Q31" s="13" t="n">
        <x:f t="shared" si="0">COUNT(E31:P31)</x:f>
        <x:v>12</x:v>
      </x:c>
      <x:c r="R31" s="13" t="n">
        <x:f t="shared" si="1">SUM(E31:P31)</x:f>
        <x:v>411</x:v>
      </x:c>
      <x:c r="S31" s="14" t="n">
        <x:f>IF(Q31&gt;0,R31/Q31,"")</x:f>
        <x:v>34.25</x:v>
      </x:c>
      <x:c r="T31" s="15">
        <x:v>12791640</x:v>
      </x:c>
      <x:c r="U31" s="15">
        <x:v>9049882</x:v>
      </x:c>
      <x:c r="V31" s="14">
        <x:v>169292707</x:v>
      </x:c>
      <x:c r="W31" s="14" t="n">
        <x:f>IF(AND(Q31&gt;0,S31&gt;0,V31&lt;&gt;""),V31/S31/Q31,"")</x:f>
        <x:v>411904.3965936739</x:v>
      </x:c>
      <x:c r="X31" s="3" t="s">
        <x:v>111</x:v>
      </x:c>
    </x:row>
    <x:row r="32">
      <x:c r="A32" s="12" t="s">
        <x:v>112</x:v>
      </x:c>
      <x:c r="B32" s="3" t="s">
        <x:v>113</x:v>
      </x:c>
      <x:c r="C32" s="4" t="s">
        <x:v>114</x:v>
      </x:c>
      <x:c r="D32" s="5">
        <x:v>306</x:v>
      </x:c>
      <x:c r="E32" s="13">
        <x:v>3</x:v>
      </x:c>
      <x:c r="F32" s="13">
        <x:v>2</x:v>
      </x:c>
      <x:c r="G32" s="13">
        <x:v>1</x:v>
      </x:c>
      <x:c r="H32" s="13">
        <x:v>1</x:v>
      </x:c>
      <x:c r="I32" s="13">
        <x:v>1</x:v>
      </x:c>
      <x:c r="J32" s="13">
        <x:v>1</x:v>
      </x:c>
      <x:c r="K32" s="13">
        <x:v>1</x:v>
      </x:c>
      <x:c r="L32" s="13">
        <x:v>1</x:v>
      </x:c>
      <x:c r="M32" s="13">
        <x:v>1</x:v>
      </x:c>
      <x:c r="N32" s="13">
        <x:v>1</x:v>
      </x:c>
      <x:c r="O32" s="13">
        <x:v>1</x:v>
      </x:c>
      <x:c r="P32" s="13">
        <x:v>1</x:v>
      </x:c>
      <x:c r="Q32" s="13" t="n">
        <x:f t="shared" si="0">COUNT(E32:P32)</x:f>
        <x:v>12</x:v>
      </x:c>
      <x:c r="R32" s="13" t="n">
        <x:f t="shared" si="1">SUM(E32:P32)</x:f>
        <x:v>15</x:v>
      </x:c>
      <x:c r="S32" s="14" t="n">
        <x:f>IF(Q32&gt;0,R32/Q32,"")</x:f>
        <x:v>1.25</x:v>
      </x:c>
      <x:c r="T32" s="15">
        <x:v>522882</x:v>
      </x:c>
      <x:c r="U32" s="15">
        <x:v>392903</x:v>
      </x:c>
      <x:c r="V32" s="14">
        <x:v>6085297</x:v>
      </x:c>
      <x:c r="W32" s="14" t="n">
        <x:f>IF(AND(Q32&gt;0,S32&gt;0,V32&lt;&gt;""),V32/S32/Q32,"")</x:f>
        <x:v>405686.4666666666</x:v>
      </x:c>
      <x:c r="X32" s="3" t="s">
        <x:v>115</x:v>
      </x:c>
    </x:row>
    <x:row r="33">
      <x:c r="A33" s="12" t="s">
        <x:v>25</x:v>
      </x:c>
      <x:c r="B33" s="3" t="s">
        <x:v>35</x:v>
      </x:c>
      <x:c r="C33" s="4" t="s">
        <x:v>116</x:v>
      </x:c>
      <x:c r="D33" s="5">
        <x:v>306</x:v>
      </x:c>
      <x:c r="E33" s="13">
        <x:v>64</x:v>
      </x:c>
      <x:c r="F33" s="13">
        <x:v>64</x:v>
      </x:c>
      <x:c r="G33" s="13">
        <x:v>66</x:v>
      </x:c>
      <x:c r="H33" s="13">
        <x:v>68</x:v>
      </x:c>
      <x:c r="I33" s="13">
        <x:v>67</x:v>
      </x:c>
      <x:c r="J33" s="13">
        <x:v>68</x:v>
      </x:c>
      <x:c r="K33" s="13">
        <x:v>56</x:v>
      </x:c>
      <x:c r="L33" s="13">
        <x:v>67</x:v>
      </x:c>
      <x:c r="M33" s="13">
        <x:v>71</x:v>
      </x:c>
      <x:c r="N33" s="13">
        <x:v>73</x:v>
      </x:c>
      <x:c r="O33" s="13">
        <x:v>73</x:v>
      </x:c>
      <x:c r="P33" s="13">
        <x:v>72</x:v>
      </x:c>
      <x:c r="Q33" s="13" t="n">
        <x:f t="shared" si="0">COUNT(E33:P33)</x:f>
        <x:v>12</x:v>
      </x:c>
      <x:c r="R33" s="13" t="n">
        <x:f t="shared" si="1">SUM(E33:P33)</x:f>
        <x:v>809</x:v>
      </x:c>
      <x:c r="S33" s="14" t="n">
        <x:f>IF(Q33&gt;0,R33/Q33,"")</x:f>
        <x:v>67.41666666666667</x:v>
      </x:c>
      <x:c r="T33" s="15">
        <x:v>22708897</x:v>
      </x:c>
      <x:c r="U33" s="15">
        <x:v>17207844</x:v>
      </x:c>
      <x:c r="V33" s="14">
        <x:v>326715142</x:v>
      </x:c>
      <x:c r="W33" s="14" t="n">
        <x:f>IF(AND(Q33&gt;0,S33&gt;0,V33&lt;&gt;""),V33/S33/Q33,"")</x:f>
        <x:v>403850.60815822</x:v>
      </x:c>
      <x:c r="X33" s="3" t="s">
        <x:v>117</x:v>
      </x:c>
    </x:row>
    <x:row r="34">
      <x:c r="A34" s="12" t="s">
        <x:v>25</x:v>
      </x:c>
      <x:c r="B34" s="3" t="s">
        <x:v>26</x:v>
      </x:c>
      <x:c r="C34" s="4" t="s">
        <x:v>118</x:v>
      </x:c>
      <x:c r="D34" s="5">
        <x:v>306</x:v>
      </x:c>
      <x:c r="E34" s="13">
        <x:v>43</x:v>
      </x:c>
      <x:c r="F34" s="13">
        <x:v>43</x:v>
      </x:c>
      <x:c r="G34" s="13">
        <x:v>43</x:v>
      </x:c>
      <x:c r="H34" s="13">
        <x:v>43</x:v>
      </x:c>
      <x:c r="I34" s="13">
        <x:v>43</x:v>
      </x:c>
      <x:c r="J34" s="13">
        <x:v>43</x:v>
      </x:c>
      <x:c r="K34" s="13">
        <x:v>48</x:v>
      </x:c>
      <x:c r="L34" s="13">
        <x:v>48</x:v>
      </x:c>
      <x:c r="M34" s="13">
        <x:v>48</x:v>
      </x:c>
      <x:c r="N34" s="13">
        <x:v>46</x:v>
      </x:c>
      <x:c r="O34" s="13">
        <x:v>46</x:v>
      </x:c>
      <x:c r="P34" s="13">
        <x:v>46</x:v>
      </x:c>
      <x:c r="Q34" s="13" t="n">
        <x:f t="shared" si="0">COUNT(E34:P34)</x:f>
        <x:v>12</x:v>
      </x:c>
      <x:c r="R34" s="13" t="n">
        <x:f t="shared" si="1">SUM(E34:P34)</x:f>
        <x:v>540</x:v>
      </x:c>
      <x:c r="S34" s="14" t="n">
        <x:f>IF(Q34&gt;0,R34/Q34,"")</x:f>
        <x:v>45</x:v>
      </x:c>
      <x:c r="T34" s="15">
        <x:v>15283176</x:v>
      </x:c>
      <x:c r="U34" s="15">
        <x:v>9360117</x:v>
      </x:c>
      <x:c r="V34" s="14">
        <x:v>213523996</x:v>
      </x:c>
      <x:c r="W34" s="14" t="n">
        <x:f>IF(AND(Q34&gt;0,S34&gt;0,V34&lt;&gt;""),V34/S34/Q34,"")</x:f>
        <x:v>395414.8074074074</x:v>
      </x:c>
      <x:c r="X34" s="3" t="s">
        <x:v>119</x:v>
      </x:c>
    </x:row>
    <x:row r="35">
      <x:c r="A35" s="12" t="s">
        <x:v>120</x:v>
      </x:c>
      <x:c r="B35" s="3" t="s">
        <x:v>121</x:v>
      </x:c>
      <x:c r="C35" s="4" t="s">
        <x:v>122</x:v>
      </x:c>
      <x:c r="D35" s="5">
        <x:v>306</x:v>
      </x:c>
      <x:c r="E35" s="13">
        <x:v>166</x:v>
      </x:c>
      <x:c r="F35" s="13">
        <x:v>160</x:v>
      </x:c>
      <x:c r="G35" s="13">
        <x:v>154</x:v>
      </x:c>
      <x:c r="H35" s="13">
        <x:v>157</x:v>
      </x:c>
      <x:c r="I35" s="13">
        <x:v>147</x:v>
      </x:c>
      <x:c r="J35" s="13">
        <x:v>141</x:v>
      </x:c>
      <x:c r="K35" s="13">
        <x:v>133</x:v>
      </x:c>
      <x:c r="L35" s="13">
        <x:v>132</x:v>
      </x:c>
      <x:c r="M35" s="13">
        <x:v>129</x:v>
      </x:c>
      <x:c r="N35" s="13">
        <x:v>139</x:v>
      </x:c>
      <x:c r="O35" s="13">
        <x:v>137</x:v>
      </x:c>
      <x:c r="P35" s="13">
        <x:v>137</x:v>
      </x:c>
      <x:c r="Q35" s="13" t="n">
        <x:f t="shared" si="0">COUNT(E35:P35)</x:f>
        <x:v>12</x:v>
      </x:c>
      <x:c r="R35" s="13" t="n">
        <x:f t="shared" si="1">SUM(E35:P35)</x:f>
        <x:v>1732</x:v>
      </x:c>
      <x:c r="S35" s="14" t="n">
        <x:f>IF(Q35&gt;0,R35/Q35,"")</x:f>
        <x:v>144.33333333333334</x:v>
      </x:c>
      <x:c r="T35" s="15">
        <x:v>51457406</x:v>
      </x:c>
      <x:c r="U35" s="15">
        <x:v>37711218</x:v>
      </x:c>
      <x:c r="V35" s="14">
        <x:v>669291849</x:v>
      </x:c>
      <x:c r="W35" s="14" t="n">
        <x:f>IF(AND(Q35&gt;0,S35&gt;0,V35&lt;&gt;""),V35/S35/Q35,"")</x:f>
        <x:v>386427.1645496536</x:v>
      </x:c>
      <x:c r="X35" s="3" t="s">
        <x:v>123</x:v>
      </x:c>
    </x:row>
    <x:row r="36">
      <x:c r="A36" s="12" t="s">
        <x:v>124</x:v>
      </x:c>
      <x:c r="B36" s="3" t="s">
        <x:v>125</x:v>
      </x:c>
      <x:c r="C36" s="4" t="s">
        <x:v>126</x:v>
      </x:c>
      <x:c r="D36" s="5">
        <x:v>306</x:v>
      </x:c>
      <x:c r="E36" s="13">
        <x:v>2</x:v>
      </x:c>
      <x:c r="F36" s="13">
        <x:v>2</x:v>
      </x:c>
      <x:c r="G36" s="13">
        <x:v>2</x:v>
      </x:c>
      <x:c r="H36" s="13">
        <x:v>2</x:v>
      </x:c>
      <x:c r="I36" s="13">
        <x:v>2</x:v>
      </x:c>
      <x:c r="J36" s="13">
        <x:v>3</x:v>
      </x:c>
      <x:c r="K36" s="13"/>
      <x:c r="L36" s="13"/>
      <x:c r="M36" s="13"/>
      <x:c r="N36" s="13">
        <x:v>4</x:v>
      </x:c>
      <x:c r="O36" s="13">
        <x:v>2</x:v>
      </x:c>
      <x:c r="P36" s="13">
        <x:v>2</x:v>
      </x:c>
      <x:c r="Q36" s="13" t="n">
        <x:f t="shared" si="0">COUNT(E36:P36)</x:f>
        <x:v>9</x:v>
      </x:c>
      <x:c r="R36" s="13" t="n">
        <x:f t="shared" si="1">SUM(E36:P36)</x:f>
        <x:v>21</x:v>
      </x:c>
      <x:c r="S36" s="14" t="n">
        <x:f>IF(Q36&gt;0,R36/Q36,"")</x:f>
        <x:v>2.3333333333333335</x:v>
      </x:c>
      <x:c r="T36" s="15">
        <x:v>601087</x:v>
      </x:c>
      <x:c r="U36" s="15">
        <x:v>420144</x:v>
      </x:c>
      <x:c r="V36" s="14">
        <x:v>8064045</x:v>
      </x:c>
      <x:c r="W36" s="14" t="n">
        <x:f>IF(AND(Q36&gt;0,S36&gt;0,V36&lt;&gt;""),V36/S36/Q36,"")</x:f>
        <x:v>384002.14285714284</x:v>
      </x:c>
      <x:c r="X36" s="3" t="s">
        <x:v>127</x:v>
      </x:c>
    </x:row>
    <x:row r="37">
      <x:c r="A37" s="12" t="s">
        <x:v>128</x:v>
      </x:c>
      <x:c r="B37" s="3" t="s">
        <x:v>129</x:v>
      </x:c>
      <x:c r="C37" s="4" t="s">
        <x:v>130</x:v>
      </x:c>
      <x:c r="D37" s="5">
        <x:v>306</x:v>
      </x:c>
      <x:c r="E37" s="13">
        <x:v>3</x:v>
      </x:c>
      <x:c r="F37" s="13">
        <x:v>3</x:v>
      </x:c>
      <x:c r="G37" s="13">
        <x:v>3</x:v>
      </x:c>
      <x:c r="H37" s="13">
        <x:v>4</x:v>
      </x:c>
      <x:c r="I37" s="13">
        <x:v>4</x:v>
      </x:c>
      <x:c r="J37" s="13">
        <x:v>4</x:v>
      </x:c>
      <x:c r="K37" s="13"/>
      <x:c r="L37" s="13"/>
      <x:c r="M37" s="13"/>
      <x:c r="N37" s="13"/>
      <x:c r="O37" s="13"/>
      <x:c r="P37" s="13"/>
      <x:c r="Q37" s="13" t="n">
        <x:f t="shared" si="0">COUNT(E37:P37)</x:f>
        <x:v>6</x:v>
      </x:c>
      <x:c r="R37" s="13" t="n">
        <x:f t="shared" si="1">SUM(E37:P37)</x:f>
        <x:v>21</x:v>
      </x:c>
      <x:c r="S37" s="14" t="n">
        <x:f>IF(Q37&gt;0,R37/Q37,"")</x:f>
        <x:v>3.5</x:v>
      </x:c>
      <x:c r="T37" s="15">
        <x:v>640580</x:v>
      </x:c>
      <x:c r="U37" s="15">
        <x:v>415974</x:v>
      </x:c>
      <x:c r="V37" s="14">
        <x:v>7984164</x:v>
      </x:c>
      <x:c r="W37" s="14" t="n">
        <x:f>IF(AND(Q37&gt;0,S37&gt;0,V37&lt;&gt;""),V37/S37/Q37,"")</x:f>
        <x:v>380198.2857142857</x:v>
      </x:c>
      <x:c r="X37" s="3" t="s">
        <x:v>131</x:v>
      </x:c>
    </x:row>
    <x:row r="38">
      <x:c r="A38" s="12" t="s">
        <x:v>132</x:v>
      </x:c>
      <x:c r="B38" s="3" t="s">
        <x:v>133</x:v>
      </x:c>
      <x:c r="C38" s="4" t="s">
        <x:v>134</x:v>
      </x:c>
      <x:c r="D38" s="5">
        <x:v>306</x:v>
      </x:c>
      <x:c r="E38" s="13">
        <x:v>2</x:v>
      </x:c>
      <x:c r="F38" s="13">
        <x:v>4</x:v>
      </x:c>
      <x:c r="G38" s="13">
        <x:v>3</x:v>
      </x:c>
      <x:c r="H38" s="13">
        <x:v>3</x:v>
      </x:c>
      <x:c r="I38" s="13">
        <x:v>4</x:v>
      </x:c>
      <x:c r="J38" s="13">
        <x:v>3</x:v>
      </x:c>
      <x:c r="K38" s="13">
        <x:v>4</x:v>
      </x:c>
      <x:c r="L38" s="13">
        <x:v>5</x:v>
      </x:c>
      <x:c r="M38" s="13">
        <x:v>4</x:v>
      </x:c>
      <x:c r="N38" s="13">
        <x:v>5</x:v>
      </x:c>
      <x:c r="O38" s="13">
        <x:v>6</x:v>
      </x:c>
      <x:c r="P38" s="13">
        <x:v>6</x:v>
      </x:c>
      <x:c r="Q38" s="13" t="n">
        <x:f t="shared" si="0">COUNT(E38:P38)</x:f>
        <x:v>12</x:v>
      </x:c>
      <x:c r="R38" s="13" t="n">
        <x:f t="shared" si="1">SUM(E38:P38)</x:f>
        <x:v>49</x:v>
      </x:c>
      <x:c r="S38" s="14" t="n">
        <x:f>IF(Q38&gt;0,R38/Q38,"")</x:f>
        <x:v>4.083333333333333</x:v>
      </x:c>
      <x:c r="T38" s="15">
        <x:v>1701060</x:v>
      </x:c>
      <x:c r="U38" s="15">
        <x:v>971233</x:v>
      </x:c>
      <x:c r="V38" s="14">
        <x:v>18327298</x:v>
      </x:c>
      <x:c r="W38" s="14" t="n">
        <x:f>IF(AND(Q38&gt;0,S38&gt;0,V38&lt;&gt;""),V38/S38/Q38,"")</x:f>
        <x:v>374026.4897959184</x:v>
      </x:c>
      <x:c r="X38" s="3" t="s">
        <x:v>135</x:v>
      </x:c>
    </x:row>
    <x:row r="39">
      <x:c r="A39" s="12" t="s">
        <x:v>136</x:v>
      </x:c>
      <x:c r="B39" s="3" t="s">
        <x:v>137</x:v>
      </x:c>
      <x:c r="C39" s="4" t="s">
        <x:v>138</x:v>
      </x:c>
      <x:c r="D39" s="5">
        <x:v>306</x:v>
      </x:c>
      <x:c r="E39" s="13">
        <x:v>6</x:v>
      </x:c>
      <x:c r="F39" s="13">
        <x:v>6</x:v>
      </x:c>
      <x:c r="G39" s="13">
        <x:v>6</x:v>
      </x:c>
      <x:c r="H39" s="13">
        <x:v>6</x:v>
      </x:c>
      <x:c r="I39" s="13">
        <x:v>7</x:v>
      </x:c>
      <x:c r="J39" s="13">
        <x:v>6</x:v>
      </x:c>
      <x:c r="K39" s="13">
        <x:v>6</x:v>
      </x:c>
      <x:c r="L39" s="13">
        <x:v>6</x:v>
      </x:c>
      <x:c r="M39" s="13">
        <x:v>6</x:v>
      </x:c>
      <x:c r="N39" s="13">
        <x:v>6</x:v>
      </x:c>
      <x:c r="O39" s="13">
        <x:v>6</x:v>
      </x:c>
      <x:c r="P39" s="13">
        <x:v>6</x:v>
      </x:c>
      <x:c r="Q39" s="13" t="n">
        <x:f t="shared" si="0">COUNT(E39:P39)</x:f>
        <x:v>12</x:v>
      </x:c>
      <x:c r="R39" s="13" t="n">
        <x:f t="shared" si="1">SUM(E39:P39)</x:f>
        <x:v>73</x:v>
      </x:c>
      <x:c r="S39" s="14" t="n">
        <x:f>IF(Q39&gt;0,R39/Q39,"")</x:f>
        <x:v>6.083333333333333</x:v>
      </x:c>
      <x:c r="T39" s="15">
        <x:v>1905938</x:v>
      </x:c>
      <x:c r="U39" s="15">
        <x:v>1696705</x:v>
      </x:c>
      <x:c r="V39" s="14">
        <x:v>27087642</x:v>
      </x:c>
      <x:c r="W39" s="14" t="n">
        <x:f>IF(AND(Q39&gt;0,S39&gt;0,V39&lt;&gt;""),V39/S39/Q39,"")</x:f>
        <x:v>371063.5890410959</x:v>
      </x:c>
      <x:c r="X39" s="3" t="s">
        <x:v>139</x:v>
      </x:c>
    </x:row>
    <x:row r="40">
      <x:c r="A40" s="12" t="s">
        <x:v>140</x:v>
      </x:c>
      <x:c r="B40" s="3" t="s">
        <x:v>141</x:v>
      </x:c>
      <x:c r="C40" s="4" t="s">
        <x:v>142</x:v>
      </x:c>
      <x:c r="D40" s="5">
        <x:v>306</x:v>
      </x:c>
      <x:c r="E40" s="13"/>
      <x:c r="F40" s="13"/>
      <x:c r="G40" s="13"/>
      <x:c r="H40" s="13">
        <x:v>3</x:v>
      </x:c>
      <x:c r="I40" s="13">
        <x:v>4</x:v>
      </x:c>
      <x:c r="J40" s="13">
        <x:v>4</x:v>
      </x:c>
      <x:c r="K40" s="13">
        <x:v>3</x:v>
      </x:c>
      <x:c r="L40" s="13">
        <x:v>5</x:v>
      </x:c>
      <x:c r="M40" s="13">
        <x:v>3</x:v>
      </x:c>
      <x:c r="N40" s="13">
        <x:v>3</x:v>
      </x:c>
      <x:c r="O40" s="13">
        <x:v>3</x:v>
      </x:c>
      <x:c r="P40" s="13">
        <x:v>4</x:v>
      </x:c>
      <x:c r="Q40" s="13" t="n">
        <x:f t="shared" si="0">COUNT(E40:P40)</x:f>
        <x:v>9</x:v>
      </x:c>
      <x:c r="R40" s="13" t="n">
        <x:f t="shared" si="1">SUM(E40:P40)</x:f>
        <x:v>32</x:v>
      </x:c>
      <x:c r="S40" s="14" t="n">
        <x:f>IF(Q40&gt;0,R40/Q40,"")</x:f>
        <x:v>3.5555555555555554</x:v>
      </x:c>
      <x:c r="T40" s="15">
        <x:v>925250</x:v>
      </x:c>
      <x:c r="U40" s="15">
        <x:v>698124</x:v>
      </x:c>
      <x:c r="V40" s="14">
        <x:v>11868040</x:v>
      </x:c>
      <x:c r="W40" s="14" t="n">
        <x:f>IF(AND(Q40&gt;0,S40&gt;0,V40&lt;&gt;""),V40/S40/Q40,"")</x:f>
        <x:v>370876.25</x:v>
      </x:c>
      <x:c r="X40" s="3" t="s">
        <x:v>143</x:v>
      </x:c>
    </x:row>
    <x:row r="41">
      <x:c r="A41" s="12" t="s">
        <x:v>25</x:v>
      </x:c>
      <x:c r="B41" s="3" t="s">
        <x:v>26</x:v>
      </x:c>
      <x:c r="C41" s="4" t="s">
        <x:v>144</x:v>
      </x:c>
      <x:c r="D41" s="5">
        <x:v>306</x:v>
      </x:c>
      <x:c r="E41" s="13">
        <x:v>67</x:v>
      </x:c>
      <x:c r="F41" s="13">
        <x:v>67</x:v>
      </x:c>
      <x:c r="G41" s="13">
        <x:v>67</x:v>
      </x:c>
      <x:c r="H41" s="13">
        <x:v>59</x:v>
      </x:c>
      <x:c r="I41" s="13">
        <x:v>59</x:v>
      </x:c>
      <x:c r="J41" s="13">
        <x:v>59</x:v>
      </x:c>
      <x:c r="K41" s="13">
        <x:v>66</x:v>
      </x:c>
      <x:c r="L41" s="13">
        <x:v>66</x:v>
      </x:c>
      <x:c r="M41" s="13">
        <x:v>66</x:v>
      </x:c>
      <x:c r="N41" s="13">
        <x:v>71</x:v>
      </x:c>
      <x:c r="O41" s="13">
        <x:v>71</x:v>
      </x:c>
      <x:c r="P41" s="13">
        <x:v>71</x:v>
      </x:c>
      <x:c r="Q41" s="13" t="n">
        <x:f t="shared" si="0">COUNT(E41:P41)</x:f>
        <x:v>12</x:v>
      </x:c>
      <x:c r="R41" s="13" t="n">
        <x:f t="shared" si="1">SUM(E41:P41)</x:f>
        <x:v>789</x:v>
      </x:c>
      <x:c r="S41" s="14" t="n">
        <x:f>IF(Q41&gt;0,R41/Q41,"")</x:f>
        <x:v>65.75</x:v>
      </x:c>
      <x:c r="T41" s="15">
        <x:v>20941514</x:v>
      </x:c>
      <x:c r="U41" s="15">
        <x:v>15224263</x:v>
      </x:c>
      <x:c r="V41" s="14">
        <x:v>292011705</x:v>
      </x:c>
      <x:c r="W41" s="14" t="n">
        <x:f>IF(AND(Q41&gt;0,S41&gt;0,V41&lt;&gt;""),V41/S41/Q41,"")</x:f>
        <x:v>370103.5551330799</x:v>
      </x:c>
      <x:c r="X41" s="3" t="s">
        <x:v>145</x:v>
      </x:c>
    </x:row>
    <x:row r="42">
      <x:c r="A42" s="12" t="s">
        <x:v>146</x:v>
      </x:c>
      <x:c r="B42" s="3" t="s">
        <x:v>147</x:v>
      </x:c>
      <x:c r="C42" s="4" t="s">
        <x:v>148</x:v>
      </x:c>
      <x:c r="D42" s="5">
        <x:v>306</x:v>
      </x:c>
      <x:c r="E42" s="13">
        <x:v>23</x:v>
      </x:c>
      <x:c r="F42" s="13">
        <x:v>22</x:v>
      </x:c>
      <x:c r="G42" s="13">
        <x:v>19</x:v>
      </x:c>
      <x:c r="H42" s="13">
        <x:v>22</x:v>
      </x:c>
      <x:c r="I42" s="13">
        <x:v>21</x:v>
      </x:c>
      <x:c r="J42" s="13">
        <x:v>21</x:v>
      </x:c>
      <x:c r="K42" s="13">
        <x:v>21</x:v>
      </x:c>
      <x:c r="L42" s="13">
        <x:v>22</x:v>
      </x:c>
      <x:c r="M42" s="13">
        <x:v>23</x:v>
      </x:c>
      <x:c r="N42" s="13">
        <x:v>23</x:v>
      </x:c>
      <x:c r="O42" s="13">
        <x:v>23</x:v>
      </x:c>
      <x:c r="P42" s="13">
        <x:v>24</x:v>
      </x:c>
      <x:c r="Q42" s="13" t="n">
        <x:f t="shared" si="0">COUNT(E42:P42)</x:f>
        <x:v>12</x:v>
      </x:c>
      <x:c r="R42" s="13" t="n">
        <x:f t="shared" si="1">SUM(E42:P42)</x:f>
        <x:v>264</x:v>
      </x:c>
      <x:c r="S42" s="14" t="n">
        <x:f>IF(Q42&gt;0,R42/Q42,"")</x:f>
        <x:v>22</x:v>
      </x:c>
      <x:c r="T42" s="15">
        <x:v>7308597</x:v>
      </x:c>
      <x:c r="U42" s="15">
        <x:v>5280266</x:v>
      </x:c>
      <x:c r="V42" s="14">
        <x:v>97419628</x:v>
      </x:c>
      <x:c r="W42" s="14" t="n">
        <x:f>IF(AND(Q42&gt;0,S42&gt;0,V42&lt;&gt;""),V42/S42/Q42,"")</x:f>
        <x:v>369013.74242424243</x:v>
      </x:c>
      <x:c r="X42" s="3" t="s">
        <x:v>149</x:v>
      </x:c>
    </x:row>
    <x:row r="43">
      <x:c r="A43" s="12" t="s">
        <x:v>150</x:v>
      </x:c>
      <x:c r="B43" s="3" t="s">
        <x:v>151</x:v>
      </x:c>
      <x:c r="C43" s="4" t="s">
        <x:v>152</x:v>
      </x:c>
      <x:c r="D43" s="5">
        <x:v>306</x:v>
      </x:c>
      <x:c r="E43" s="13">
        <x:v>11</x:v>
      </x:c>
      <x:c r="F43" s="13">
        <x:v>11</x:v>
      </x:c>
      <x:c r="G43" s="13">
        <x:v>10</x:v>
      </x:c>
      <x:c r="H43" s="13">
        <x:v>9</x:v>
      </x:c>
      <x:c r="I43" s="13">
        <x:v>9</x:v>
      </x:c>
      <x:c r="J43" s="13">
        <x:v>9</x:v>
      </x:c>
      <x:c r="K43" s="13">
        <x:v>10</x:v>
      </x:c>
      <x:c r="L43" s="13">
        <x:v>10</x:v>
      </x:c>
      <x:c r="M43" s="13">
        <x:v>10</x:v>
      </x:c>
      <x:c r="N43" s="13">
        <x:v>10</x:v>
      </x:c>
      <x:c r="O43" s="13">
        <x:v>10</x:v>
      </x:c>
      <x:c r="P43" s="13">
        <x:v>10</x:v>
      </x:c>
      <x:c r="Q43" s="13" t="n">
        <x:f t="shared" si="0">COUNT(E43:P43)</x:f>
        <x:v>12</x:v>
      </x:c>
      <x:c r="R43" s="13" t="n">
        <x:f t="shared" si="1">SUM(E43:P43)</x:f>
        <x:v>119</x:v>
      </x:c>
      <x:c r="S43" s="14" t="n">
        <x:f>IF(Q43&gt;0,R43/Q43,"")</x:f>
        <x:v>9.916666666666666</x:v>
      </x:c>
      <x:c r="T43" s="15">
        <x:v>2818026</x:v>
      </x:c>
      <x:c r="U43" s="15">
        <x:v>2158515</x:v>
      </x:c>
      <x:c r="V43" s="14">
        <x:v>43202427</x:v>
      </x:c>
      <x:c r="W43" s="14" t="n">
        <x:f>IF(AND(Q43&gt;0,S43&gt;0,V43&lt;&gt;""),V43/S43/Q43,"")</x:f>
        <x:v>363045.60504201683</x:v>
      </x:c>
      <x:c r="X43" s="3" t="s">
        <x:v>153</x:v>
      </x:c>
    </x:row>
    <x:row r="44">
      <x:c r="A44" s="12" t="s">
        <x:v>154</x:v>
      </x:c>
      <x:c r="B44" s="3" t="s">
        <x:v>155</x:v>
      </x:c>
      <x:c r="C44" s="4" t="s">
        <x:v>156</x:v>
      </x:c>
      <x:c r="D44" s="5">
        <x:v>306</x:v>
      </x:c>
      <x:c r="E44" s="13">
        <x:v>16</x:v>
      </x:c>
      <x:c r="F44" s="13">
        <x:v>16</x:v>
      </x:c>
      <x:c r="G44" s="13">
        <x:v>16</x:v>
      </x:c>
      <x:c r="H44" s="13">
        <x:v>16</x:v>
      </x:c>
      <x:c r="I44" s="13">
        <x:v>17</x:v>
      </x:c>
      <x:c r="J44" s="13">
        <x:v>17</x:v>
      </x:c>
      <x:c r="K44" s="13">
        <x:v>18</x:v>
      </x:c>
      <x:c r="L44" s="13">
        <x:v>16</x:v>
      </x:c>
      <x:c r="M44" s="13">
        <x:v>18</x:v>
      </x:c>
      <x:c r="N44" s="13">
        <x:v>17</x:v>
      </x:c>
      <x:c r="O44" s="13">
        <x:v>17</x:v>
      </x:c>
      <x:c r="P44" s="13">
        <x:v>18</x:v>
      </x:c>
      <x:c r="Q44" s="13" t="n">
        <x:f t="shared" si="0">COUNT(E44:P44)</x:f>
        <x:v>12</x:v>
      </x:c>
      <x:c r="R44" s="13" t="n">
        <x:f t="shared" si="1">SUM(E44:P44)</x:f>
        <x:v>202</x:v>
      </x:c>
      <x:c r="S44" s="14" t="n">
        <x:f>IF(Q44&gt;0,R44/Q44,"")</x:f>
        <x:v>16.833333333333332</x:v>
      </x:c>
      <x:c r="T44" s="15">
        <x:v>4957383</x:v>
      </x:c>
      <x:c r="U44" s="15">
        <x:v>4186032</x:v>
      </x:c>
      <x:c r="V44" s="14">
        <x:v>69868036</x:v>
      </x:c>
      <x:c r="W44" s="14" t="n">
        <x:f>IF(AND(Q44&gt;0,S44&gt;0,V44&lt;&gt;""),V44/S44/Q44,"")</x:f>
        <x:v>345881.3663366337</x:v>
      </x:c>
      <x:c r="X44" s="3" t="s">
        <x:v>157</x:v>
      </x:c>
    </x:row>
    <x:row r="45">
      <x:c r="A45" s="12" t="s">
        <x:v>158</x:v>
      </x:c>
      <x:c r="B45" s="3" t="s">
        <x:v>159</x:v>
      </x:c>
      <x:c r="C45" s="4" t="s">
        <x:v>160</x:v>
      </x:c>
      <x:c r="D45" s="5">
        <x:v>306</x:v>
      </x:c>
      <x:c r="E45" s="13">
        <x:v>10</x:v>
      </x:c>
      <x:c r="F45" s="13">
        <x:v>11</x:v>
      </x:c>
      <x:c r="G45" s="13">
        <x:v>11</x:v>
      </x:c>
      <x:c r="H45" s="13">
        <x:v>11</x:v>
      </x:c>
      <x:c r="I45" s="13">
        <x:v>10</x:v>
      </x:c>
      <x:c r="J45" s="13">
        <x:v>10</x:v>
      </x:c>
      <x:c r="K45" s="13">
        <x:v>10</x:v>
      </x:c>
      <x:c r="L45" s="13">
        <x:v>10</x:v>
      </x:c>
      <x:c r="M45" s="13">
        <x:v>9</x:v>
      </x:c>
      <x:c r="N45" s="13">
        <x:v>9</x:v>
      </x:c>
      <x:c r="O45" s="13">
        <x:v>10</x:v>
      </x:c>
      <x:c r="P45" s="13">
        <x:v>10</x:v>
      </x:c>
      <x:c r="Q45" s="13" t="n">
        <x:f t="shared" si="0">COUNT(E45:P45)</x:f>
        <x:v>12</x:v>
      </x:c>
      <x:c r="R45" s="13" t="n">
        <x:f t="shared" si="1">SUM(E45:P45)</x:f>
        <x:v>121</x:v>
      </x:c>
      <x:c r="S45" s="14" t="n">
        <x:f>IF(Q45&gt;0,R45/Q45,"")</x:f>
        <x:v>10.083333333333334</x:v>
      </x:c>
      <x:c r="T45" s="15">
        <x:v>2786668</x:v>
      </x:c>
      <x:c r="U45" s="15">
        <x:v>2176421</x:v>
      </x:c>
      <x:c r="V45" s="14">
        <x:v>40435994</x:v>
      </x:c>
      <x:c r="W45" s="14" t="n">
        <x:f>IF(AND(Q45&gt;0,S45&gt;0,V45&lt;&gt;""),V45/S45/Q45,"")</x:f>
        <x:v>334181.7685950413</x:v>
      </x:c>
      <x:c r="X45" s="3" t="s">
        <x:v>161</x:v>
      </x:c>
    </x:row>
    <x:row r="46">
      <x:c r="A46" s="12" t="s">
        <x:v>25</x:v>
      </x:c>
      <x:c r="B46" s="3" t="s">
        <x:v>26</x:v>
      </x:c>
      <x:c r="C46" s="4" t="s">
        <x:v>162</x:v>
      </x:c>
      <x:c r="D46" s="5">
        <x:v>306</x:v>
      </x:c>
      <x:c r="E46" s="13">
        <x:v>46</x:v>
      </x:c>
      <x:c r="F46" s="13">
        <x:v>46</x:v>
      </x:c>
      <x:c r="G46" s="13">
        <x:v>46</x:v>
      </x:c>
      <x:c r="H46" s="13">
        <x:v>47</x:v>
      </x:c>
      <x:c r="I46" s="13">
        <x:v>47</x:v>
      </x:c>
      <x:c r="J46" s="13">
        <x:v>47</x:v>
      </x:c>
      <x:c r="K46" s="13">
        <x:v>49</x:v>
      </x:c>
      <x:c r="L46" s="13">
        <x:v>49</x:v>
      </x:c>
      <x:c r="M46" s="13">
        <x:v>49</x:v>
      </x:c>
      <x:c r="N46" s="13">
        <x:v>45</x:v>
      </x:c>
      <x:c r="O46" s="13">
        <x:v>45</x:v>
      </x:c>
      <x:c r="P46" s="13">
        <x:v>45</x:v>
      </x:c>
      <x:c r="Q46" s="13" t="n">
        <x:f t="shared" si="0">COUNT(E46:P46)</x:f>
        <x:v>12</x:v>
      </x:c>
      <x:c r="R46" s="13" t="n">
        <x:f t="shared" si="1">SUM(E46:P46)</x:f>
        <x:v>561</x:v>
      </x:c>
      <x:c r="S46" s="14" t="n">
        <x:f>IF(Q46&gt;0,R46/Q46,"")</x:f>
        <x:v>46.75</x:v>
      </x:c>
      <x:c r="T46" s="15">
        <x:v>12776887</x:v>
      </x:c>
      <x:c r="U46" s="15">
        <x:v>9666105</x:v>
      </x:c>
      <x:c r="V46" s="14">
        <x:v>186436022</x:v>
      </x:c>
      <x:c r="W46" s="14" t="n">
        <x:f>IF(AND(Q46&gt;0,S46&gt;0,V46&lt;&gt;""),V46/S46/Q46,"")</x:f>
        <x:v>332328.0249554367</x:v>
      </x:c>
      <x:c r="X46" s="3" t="s">
        <x:v>163</x:v>
      </x:c>
    </x:row>
    <x:row r="47">
      <x:c r="A47" s="12" t="s">
        <x:v>25</x:v>
      </x:c>
      <x:c r="B47" s="3" t="s">
        <x:v>26</x:v>
      </x:c>
      <x:c r="C47" s="4" t="s">
        <x:v>164</x:v>
      </x:c>
      <x:c r="D47" s="5">
        <x:v>306</x:v>
      </x:c>
      <x:c r="E47" s="13">
        <x:v>33</x:v>
      </x:c>
      <x:c r="F47" s="13">
        <x:v>33</x:v>
      </x:c>
      <x:c r="G47" s="13">
        <x:v>33</x:v>
      </x:c>
      <x:c r="H47" s="13">
        <x:v>33</x:v>
      </x:c>
      <x:c r="I47" s="13">
        <x:v>33</x:v>
      </x:c>
      <x:c r="J47" s="13">
        <x:v>33</x:v>
      </x:c>
      <x:c r="K47" s="13">
        <x:v>34</x:v>
      </x:c>
      <x:c r="L47" s="13">
        <x:v>34</x:v>
      </x:c>
      <x:c r="M47" s="13">
        <x:v>34</x:v>
      </x:c>
      <x:c r="N47" s="13">
        <x:v>40</x:v>
      </x:c>
      <x:c r="O47" s="13">
        <x:v>40</x:v>
      </x:c>
      <x:c r="P47" s="13">
        <x:v>40</x:v>
      </x:c>
      <x:c r="Q47" s="13" t="n">
        <x:f t="shared" si="0">COUNT(E47:P47)</x:f>
        <x:v>12</x:v>
      </x:c>
      <x:c r="R47" s="13" t="n">
        <x:f t="shared" si="1">SUM(E47:P47)</x:f>
        <x:v>420</x:v>
      </x:c>
      <x:c r="S47" s="14" t="n">
        <x:f>IF(Q47&gt;0,R47/Q47,"")</x:f>
        <x:v>35</x:v>
      </x:c>
      <x:c r="T47" s="15">
        <x:v>9828608</x:v>
      </x:c>
      <x:c r="U47" s="15">
        <x:v>6304819</x:v>
      </x:c>
      <x:c r="V47" s="14">
        <x:v>139165446</x:v>
      </x:c>
      <x:c r="W47" s="14" t="n">
        <x:f>IF(AND(Q47&gt;0,S47&gt;0,V47&lt;&gt;""),V47/S47/Q47,"")</x:f>
        <x:v>331346.3</x:v>
      </x:c>
      <x:c r="X47" s="3" t="s">
        <x:v>165</x:v>
      </x:c>
    </x:row>
    <x:row r="48">
      <x:c r="A48" s="12" t="s">
        <x:v>166</x:v>
      </x:c>
      <x:c r="B48" s="3" t="s">
        <x:v>167</x:v>
      </x:c>
      <x:c r="C48" s="4" t="s">
        <x:v>168</x:v>
      </x:c>
      <x:c r="D48" s="5">
        <x:v>306</x:v>
      </x:c>
      <x:c r="E48" s="13">
        <x:v>181</x:v>
      </x:c>
      <x:c r="F48" s="13">
        <x:v>179</x:v>
      </x:c>
      <x:c r="G48" s="13">
        <x:v>181</x:v>
      </x:c>
      <x:c r="H48" s="13">
        <x:v>185</x:v>
      </x:c>
      <x:c r="I48" s="13">
        <x:v>174</x:v>
      </x:c>
      <x:c r="J48" s="13">
        <x:v>188</x:v>
      </x:c>
      <x:c r="K48" s="13">
        <x:v>192</x:v>
      </x:c>
      <x:c r="L48" s="13">
        <x:v>192</x:v>
      </x:c>
      <x:c r="M48" s="13">
        <x:v>184</x:v>
      </x:c>
      <x:c r="N48" s="13">
        <x:v>186</x:v>
      </x:c>
      <x:c r="O48" s="13">
        <x:v>189</x:v>
      </x:c>
      <x:c r="P48" s="13">
        <x:v>188</x:v>
      </x:c>
      <x:c r="Q48" s="13" t="n">
        <x:f t="shared" si="0">COUNT(E48:P48)</x:f>
        <x:v>12</x:v>
      </x:c>
      <x:c r="R48" s="13" t="n">
        <x:f t="shared" si="1">SUM(E48:P48)</x:f>
        <x:v>2219</x:v>
      </x:c>
      <x:c r="S48" s="14" t="n">
        <x:f>IF(Q48&gt;0,R48/Q48,"")</x:f>
        <x:v>184.91666666666666</x:v>
      </x:c>
      <x:c r="T48" s="15">
        <x:v>50718654</x:v>
      </x:c>
      <x:c r="U48" s="15">
        <x:v>39644068</x:v>
      </x:c>
      <x:c r="V48" s="14">
        <x:v>725380666</x:v>
      </x:c>
      <x:c r="W48" s="14" t="n">
        <x:f>IF(AND(Q48&gt;0,S48&gt;0,V48&lt;&gt;""),V48/S48/Q48,"")</x:f>
        <x:v>326895.2978819288</x:v>
      </x:c>
      <x:c r="X48" s="3" t="s">
        <x:v>169</x:v>
      </x:c>
    </x:row>
    <x:row r="49">
      <x:c r="A49" s="12" t="s">
        <x:v>104</x:v>
      </x:c>
      <x:c r="B49" s="3" t="s">
        <x:v>170</x:v>
      </x:c>
      <x:c r="C49" s="4" t="s">
        <x:v>171</x:v>
      </x:c>
      <x:c r="D49" s="5">
        <x:v>306</x:v>
      </x:c>
      <x:c r="E49" s="13">
        <x:v>7</x:v>
      </x:c>
      <x:c r="F49" s="13">
        <x:v>7</x:v>
      </x:c>
      <x:c r="G49" s="13">
        <x:v>9</x:v>
      </x:c>
      <x:c r="H49" s="13">
        <x:v>12</x:v>
      </x:c>
      <x:c r="I49" s="13">
        <x:v>36</x:v>
      </x:c>
      <x:c r="J49" s="13">
        <x:v>45</x:v>
      </x:c>
      <x:c r="K49" s="13">
        <x:v>44</x:v>
      </x:c>
      <x:c r="L49" s="13">
        <x:v>43</x:v>
      </x:c>
      <x:c r="M49" s="13">
        <x:v>37</x:v>
      </x:c>
      <x:c r="N49" s="13">
        <x:v>9</x:v>
      </x:c>
      <x:c r="O49" s="13">
        <x:v>9</x:v>
      </x:c>
      <x:c r="P49" s="13">
        <x:v>8</x:v>
      </x:c>
      <x:c r="Q49" s="13" t="n">
        <x:f t="shared" si="0">COUNT(E49:P49)</x:f>
        <x:v>12</x:v>
      </x:c>
      <x:c r="R49" s="13" t="n">
        <x:f t="shared" si="1">SUM(E49:P49)</x:f>
        <x:v>266</x:v>
      </x:c>
      <x:c r="S49" s="14" t="n">
        <x:f>IF(Q49&gt;0,R49/Q49,"")</x:f>
        <x:v>22.166666666666668</x:v>
      </x:c>
      <x:c r="T49" s="15">
        <x:v>6244190</x:v>
      </x:c>
      <x:c r="U49" s="15">
        <x:v>4539524</x:v>
      </x:c>
      <x:c r="V49" s="14">
        <x:v>86633827</x:v>
      </x:c>
      <x:c r="W49" s="14" t="n">
        <x:f>IF(AND(Q49&gt;0,S49&gt;0,V49&lt;&gt;""),V49/S49/Q49,"")</x:f>
        <x:v>325691.07894736837</x:v>
      </x:c>
      <x:c r="X49" s="3" t="s">
        <x:v>172</x:v>
      </x:c>
    </x:row>
    <x:row r="50">
      <x:c r="A50" s="12" t="s">
        <x:v>25</x:v>
      </x:c>
      <x:c r="B50" s="3" t="s">
        <x:v>26</x:v>
      </x:c>
      <x:c r="C50" s="4" t="s">
        <x:v>173</x:v>
      </x:c>
      <x:c r="D50" s="5">
        <x:v>306</x:v>
      </x:c>
      <x:c r="E50" s="13">
        <x:v>43</x:v>
      </x:c>
      <x:c r="F50" s="13">
        <x:v>43</x:v>
      </x:c>
      <x:c r="G50" s="13">
        <x:v>43</x:v>
      </x:c>
      <x:c r="H50" s="13">
        <x:v>43</x:v>
      </x:c>
      <x:c r="I50" s="13">
        <x:v>43</x:v>
      </x:c>
      <x:c r="J50" s="13">
        <x:v>43</x:v>
      </x:c>
      <x:c r="K50" s="13">
        <x:v>47</x:v>
      </x:c>
      <x:c r="L50" s="13">
        <x:v>47</x:v>
      </x:c>
      <x:c r="M50" s="13">
        <x:v>47</x:v>
      </x:c>
      <x:c r="N50" s="13">
        <x:v>42</x:v>
      </x:c>
      <x:c r="O50" s="13">
        <x:v>42</x:v>
      </x:c>
      <x:c r="P50" s="13">
        <x:v>42</x:v>
      </x:c>
      <x:c r="Q50" s="13" t="n">
        <x:f t="shared" si="0">COUNT(E50:P50)</x:f>
        <x:v>12</x:v>
      </x:c>
      <x:c r="R50" s="13" t="n">
        <x:f t="shared" si="1">SUM(E50:P50)</x:f>
        <x:v>525</x:v>
      </x:c>
      <x:c r="S50" s="14" t="n">
        <x:f>IF(Q50&gt;0,R50/Q50,"")</x:f>
        <x:v>43.75</x:v>
      </x:c>
      <x:c r="T50" s="15">
        <x:v>11725958</x:v>
      </x:c>
      <x:c r="U50" s="15">
        <x:v>8712089</x:v>
      </x:c>
      <x:c r="V50" s="14">
        <x:v>168362188</x:v>
      </x:c>
      <x:c r="W50" s="14" t="n">
        <x:f>IF(AND(Q50&gt;0,S50&gt;0,V50&lt;&gt;""),V50/S50/Q50,"")</x:f>
        <x:v>320689.8819047619</x:v>
      </x:c>
      <x:c r="X50" s="3" t="s">
        <x:v>174</x:v>
      </x:c>
    </x:row>
    <x:row r="51">
      <x:c r="A51" s="12" t="s">
        <x:v>71</x:v>
      </x:c>
      <x:c r="B51" s="3" t="s">
        <x:v>72</x:v>
      </x:c>
      <x:c r="C51" s="4" t="s">
        <x:v>175</x:v>
      </x:c>
      <x:c r="D51" s="5">
        <x:v>306</x:v>
      </x:c>
      <x:c r="E51" s="13">
        <x:v>9</x:v>
      </x:c>
      <x:c r="F51" s="13">
        <x:v>31</x:v>
      </x:c>
      <x:c r="G51" s="13">
        <x:v>46</x:v>
      </x:c>
      <x:c r="H51" s="13">
        <x:v>47</x:v>
      </x:c>
      <x:c r="I51" s="13">
        <x:v>44</x:v>
      </x:c>
      <x:c r="J51" s="13">
        <x:v>46</x:v>
      </x:c>
      <x:c r="K51" s="13">
        <x:v>43</x:v>
      </x:c>
      <x:c r="L51" s="13">
        <x:v>43</x:v>
      </x:c>
      <x:c r="M51" s="13">
        <x:v>41</x:v>
      </x:c>
      <x:c r="N51" s="13">
        <x:v>44</x:v>
      </x:c>
      <x:c r="O51" s="13">
        <x:v>45</x:v>
      </x:c>
      <x:c r="P51" s="13">
        <x:v>44</x:v>
      </x:c>
      <x:c r="Q51" s="13" t="n">
        <x:f t="shared" si="0">COUNT(E51:P51)</x:f>
        <x:v>12</x:v>
      </x:c>
      <x:c r="R51" s="13" t="n">
        <x:f t="shared" si="1">SUM(E51:P51)</x:f>
        <x:v>483</x:v>
      </x:c>
      <x:c r="S51" s="14" t="n">
        <x:f>IF(Q51&gt;0,R51/Q51,"")</x:f>
        <x:v>40.25</x:v>
      </x:c>
      <x:c r="T51" s="15">
        <x:v>10633471</x:v>
      </x:c>
      <x:c r="U51" s="15">
        <x:v>8482907</x:v>
      </x:c>
      <x:c r="V51" s="14">
        <x:v>154683808</x:v>
      </x:c>
      <x:c r="W51" s="14" t="n">
        <x:f>IF(AND(Q51&gt;0,S51&gt;0,V51&lt;&gt;""),V51/S51/Q51,"")</x:f>
        <x:v>320256.33126293996</x:v>
      </x:c>
      <x:c r="X51" s="3" t="s">
        <x:v>176</x:v>
      </x:c>
    </x:row>
    <x:row r="52">
      <x:c r="A52" s="12" t="s">
        <x:v>177</x:v>
      </x:c>
      <x:c r="B52" s="3" t="s">
        <x:v>178</x:v>
      </x:c>
      <x:c r="C52" s="4" t="s">
        <x:v>179</x:v>
      </x:c>
      <x:c r="D52" s="5">
        <x:v>306</x:v>
      </x:c>
      <x:c r="E52" s="13">
        <x:v>9</x:v>
      </x:c>
      <x:c r="F52" s="13">
        <x:v>9</x:v>
      </x:c>
      <x:c r="G52" s="13">
        <x:v>9</x:v>
      </x:c>
      <x:c r="H52" s="13">
        <x:v>8</x:v>
      </x:c>
      <x:c r="I52" s="13">
        <x:v>9</x:v>
      </x:c>
      <x:c r="J52" s="13">
        <x:v>6</x:v>
      </x:c>
      <x:c r="K52" s="13">
        <x:v>6</x:v>
      </x:c>
      <x:c r="L52" s="13">
        <x:v>6</x:v>
      </x:c>
      <x:c r="M52" s="13">
        <x:v>6</x:v>
      </x:c>
      <x:c r="N52" s="13">
        <x:v>6</x:v>
      </x:c>
      <x:c r="O52" s="13">
        <x:v>11</x:v>
      </x:c>
      <x:c r="P52" s="13">
        <x:v>11</x:v>
      </x:c>
      <x:c r="Q52" s="13" t="n">
        <x:f t="shared" si="0">COUNT(E52:P52)</x:f>
        <x:v>12</x:v>
      </x:c>
      <x:c r="R52" s="13" t="n">
        <x:f t="shared" si="1">SUM(E52:P52)</x:f>
        <x:v>96</x:v>
      </x:c>
      <x:c r="S52" s="14" t="n">
        <x:f>IF(Q52&gt;0,R52/Q52,"")</x:f>
        <x:v>8</x:v>
      </x:c>
      <x:c r="T52" s="15">
        <x:v>2175553</x:v>
      </x:c>
      <x:c r="U52" s="15">
        <x:v>0</x:v>
      </x:c>
      <x:c r="V52" s="14">
        <x:v>30528430</x:v>
      </x:c>
      <x:c r="W52" s="14" t="n">
        <x:f>IF(AND(Q52&gt;0,S52&gt;0,V52&lt;&gt;""),V52/S52/Q52,"")</x:f>
        <x:v>318004.4791666667</x:v>
      </x:c>
      <x:c r="X52" s="3" t="s">
        <x:v>180</x:v>
      </x:c>
    </x:row>
    <x:row r="53">
      <x:c r="A53" s="12" t="s">
        <x:v>40</x:v>
      </x:c>
      <x:c r="B53" s="3" t="s">
        <x:v>181</x:v>
      </x:c>
      <x:c r="C53" s="4" t="s">
        <x:v>182</x:v>
      </x:c>
      <x:c r="D53" s="5">
        <x:v>306</x:v>
      </x:c>
      <x:c r="E53" s="13">
        <x:v>1</x:v>
      </x:c>
      <x:c r="F53" s="13">
        <x:v>1</x:v>
      </x:c>
      <x:c r="G53" s="13">
        <x:v>1</x:v>
      </x:c>
      <x:c r="H53" s="13">
        <x:v>1</x:v>
      </x:c>
      <x:c r="I53" s="13">
        <x:v>1</x:v>
      </x:c>
      <x:c r="J53" s="13">
        <x:v>1</x:v>
      </x:c>
      <x:c r="K53" s="13">
        <x:v>1</x:v>
      </x:c>
      <x:c r="L53" s="13">
        <x:v>1</x:v>
      </x:c>
      <x:c r="M53" s="13">
        <x:v>8</x:v>
      </x:c>
      <x:c r="N53" s="13">
        <x:v>9</x:v>
      </x:c>
      <x:c r="O53" s="13">
        <x:v>9</x:v>
      </x:c>
      <x:c r="P53" s="13">
        <x:v>9</x:v>
      </x:c>
      <x:c r="Q53" s="13" t="n">
        <x:f t="shared" si="0">COUNT(E53:P53)</x:f>
        <x:v>12</x:v>
      </x:c>
      <x:c r="R53" s="13" t="n">
        <x:f t="shared" si="1">SUM(E53:P53)</x:f>
        <x:v>43</x:v>
      </x:c>
      <x:c r="S53" s="14" t="n">
        <x:f>IF(Q53&gt;0,R53/Q53,"")</x:f>
        <x:v>3.5833333333333335</x:v>
      </x:c>
      <x:c r="T53" s="15">
        <x:v>1219917</x:v>
      </x:c>
      <x:c r="U53" s="15">
        <x:v>1030775</x:v>
      </x:c>
      <x:c r="V53" s="14">
        <x:v>13523830</x:v>
      </x:c>
      <x:c r="W53" s="14" t="n">
        <x:f>IF(AND(Q53&gt;0,S53&gt;0,V53&lt;&gt;""),V53/S53/Q53,"")</x:f>
        <x:v>314507.67441860464</x:v>
      </x:c>
      <x:c r="X53" s="3" t="s">
        <x:v>183</x:v>
      </x:c>
    </x:row>
    <x:row r="54">
      <x:c r="A54" s="12" t="s">
        <x:v>184</x:v>
      </x:c>
      <x:c r="B54" s="3" t="s">
        <x:v>185</x:v>
      </x:c>
      <x:c r="C54" s="4" t="s">
        <x:v>186</x:v>
      </x:c>
      <x:c r="D54" s="5">
        <x:v>306</x:v>
      </x:c>
      <x:c r="E54" s="13">
        <x:v>1</x:v>
      </x:c>
      <x:c r="F54" s="13">
        <x:v>1</x:v>
      </x:c>
      <x:c r="G54" s="13">
        <x:v>1</x:v>
      </x:c>
      <x:c r="H54" s="13">
        <x:v>1</x:v>
      </x:c>
      <x:c r="I54" s="13">
        <x:v>1</x:v>
      </x:c>
      <x:c r="J54" s="13">
        <x:v>1</x:v>
      </x:c>
      <x:c r="K54" s="13">
        <x:v>1</x:v>
      </x:c>
      <x:c r="L54" s="13">
        <x:v>1</x:v>
      </x:c>
      <x:c r="M54" s="13">
        <x:v>1</x:v>
      </x:c>
      <x:c r="N54" s="13">
        <x:v>1</x:v>
      </x:c>
      <x:c r="O54" s="13">
        <x:v>1</x:v>
      </x:c>
      <x:c r="P54" s="13">
        <x:v>1</x:v>
      </x:c>
      <x:c r="Q54" s="13" t="n">
        <x:f t="shared" si="0">COUNT(E54:P54)</x:f>
        <x:v>12</x:v>
      </x:c>
      <x:c r="R54" s="13" t="n">
        <x:f t="shared" si="1">SUM(E54:P54)</x:f>
        <x:v>12</x:v>
      </x:c>
      <x:c r="S54" s="14" t="n">
        <x:f>IF(Q54&gt;0,R54/Q54,"")</x:f>
        <x:v>1</x:v>
      </x:c>
      <x:c r="T54" s="15">
        <x:v>267976</x:v>
      </x:c>
      <x:c r="U54" s="15">
        <x:v>195375</x:v>
      </x:c>
      <x:c r="V54" s="14">
        <x:v>3750000</x:v>
      </x:c>
      <x:c r="W54" s="14" t="n">
        <x:f>IF(AND(Q54&gt;0,S54&gt;0,V54&lt;&gt;""),V54/S54/Q54,"")</x:f>
        <x:v>312500</x:v>
      </x:c>
      <x:c r="X54" s="3" t="s">
        <x:v>187</x:v>
      </x:c>
    </x:row>
    <x:row r="55">
      <x:c r="A55" s="12" t="s">
        <x:v>188</x:v>
      </x:c>
      <x:c r="B55" s="3" t="s">
        <x:v>189</x:v>
      </x:c>
      <x:c r="C55" s="4" t="s">
        <x:v>190</x:v>
      </x:c>
      <x:c r="D55" s="5">
        <x:v>306</x:v>
      </x:c>
      <x:c r="E55" s="13">
        <x:v>5</x:v>
      </x:c>
      <x:c r="F55" s="13">
        <x:v>6</x:v>
      </x:c>
      <x:c r="G55" s="13">
        <x:v>5</x:v>
      </x:c>
      <x:c r="H55" s="13">
        <x:v>6</x:v>
      </x:c>
      <x:c r="I55" s="13">
        <x:v>4</x:v>
      </x:c>
      <x:c r="J55" s="13">
        <x:v>5</x:v>
      </x:c>
      <x:c r="K55" s="13">
        <x:v>6</x:v>
      </x:c>
      <x:c r="L55" s="13">
        <x:v>9</x:v>
      </x:c>
      <x:c r="M55" s="13">
        <x:v>5</x:v>
      </x:c>
      <x:c r="N55" s="13">
        <x:v>5</x:v>
      </x:c>
      <x:c r="O55" s="13">
        <x:v>5</x:v>
      </x:c>
      <x:c r="P55" s="13">
        <x:v>6</x:v>
      </x:c>
      <x:c r="Q55" s="13" t="n">
        <x:f t="shared" si="0">COUNT(E55:P55)</x:f>
        <x:v>12</x:v>
      </x:c>
      <x:c r="R55" s="13" t="n">
        <x:f t="shared" si="1">SUM(E55:P55)</x:f>
        <x:v>67</x:v>
      </x:c>
      <x:c r="S55" s="14" t="n">
        <x:f>IF(Q55&gt;0,R55/Q55,"")</x:f>
        <x:v>5.583333333333333</x:v>
      </x:c>
      <x:c r="T55" s="15">
        <x:v>1489813</x:v>
      </x:c>
      <x:c r="U55" s="15">
        <x:v>1108672</x:v>
      </x:c>
      <x:c r="V55" s="14">
        <x:v>20593318</x:v>
      </x:c>
      <x:c r="W55" s="14" t="n">
        <x:f>IF(AND(Q55&gt;0,S55&gt;0,V55&lt;&gt;""),V55/S55/Q55,"")</x:f>
        <x:v>307362.95522388065</x:v>
      </x:c>
      <x:c r="X55" s="3" t="s">
        <x:v>191</x:v>
      </x:c>
    </x:row>
    <x:row r="56">
      <x:c r="A56" s="12" t="s">
        <x:v>25</x:v>
      </x:c>
      <x:c r="B56" s="3" t="s">
        <x:v>26</x:v>
      </x:c>
      <x:c r="C56" s="4" t="s">
        <x:v>192</x:v>
      </x:c>
      <x:c r="D56" s="5">
        <x:v>306</x:v>
      </x:c>
      <x:c r="E56" s="13">
        <x:v>34</x:v>
      </x:c>
      <x:c r="F56" s="13">
        <x:v>34</x:v>
      </x:c>
      <x:c r="G56" s="13">
        <x:v>34</x:v>
      </x:c>
      <x:c r="H56" s="13">
        <x:v>31</x:v>
      </x:c>
      <x:c r="I56" s="13">
        <x:v>31</x:v>
      </x:c>
      <x:c r="J56" s="13">
        <x:v>31</x:v>
      </x:c>
      <x:c r="K56" s="13">
        <x:v>28</x:v>
      </x:c>
      <x:c r="L56" s="13">
        <x:v>28</x:v>
      </x:c>
      <x:c r="M56" s="13">
        <x:v>28</x:v>
      </x:c>
      <x:c r="N56" s="13">
        <x:v>33</x:v>
      </x:c>
      <x:c r="O56" s="13">
        <x:v>33</x:v>
      </x:c>
      <x:c r="P56" s="13">
        <x:v>33</x:v>
      </x:c>
      <x:c r="Q56" s="13" t="n">
        <x:f t="shared" si="0">COUNT(E56:P56)</x:f>
        <x:v>12</x:v>
      </x:c>
      <x:c r="R56" s="13" t="n">
        <x:f t="shared" si="1">SUM(E56:P56)</x:f>
        <x:v>378</x:v>
      </x:c>
      <x:c r="S56" s="14" t="n">
        <x:f>IF(Q56&gt;0,R56/Q56,"")</x:f>
        <x:v>31.5</x:v>
      </x:c>
      <x:c r="T56" s="15">
        <x:v>7851571</x:v>
      </x:c>
      <x:c r="U56" s="15">
        <x:v>5586871</x:v>
      </x:c>
      <x:c r="V56" s="14">
        <x:v>115847340</x:v>
      </x:c>
      <x:c r="W56" s="14" t="n">
        <x:f>IF(AND(Q56&gt;0,S56&gt;0,V56&lt;&gt;""),V56/S56/Q56,"")</x:f>
        <x:v>306474.44444444444</x:v>
      </x:c>
      <x:c r="X56" s="3" t="s">
        <x:v>193</x:v>
      </x:c>
    </x:row>
    <x:row r="57">
      <x:c r="A57" s="12" t="s">
        <x:v>194</x:v>
      </x:c>
      <x:c r="B57" s="3" t="s">
        <x:v>195</x:v>
      </x:c>
      <x:c r="C57" s="4" t="s">
        <x:v>196</x:v>
      </x:c>
      <x:c r="D57" s="5">
        <x:v>306</x:v>
      </x:c>
      <x:c r="E57" s="13">
        <x:v>25</x:v>
      </x:c>
      <x:c r="F57" s="13">
        <x:v>25</x:v>
      </x:c>
      <x:c r="G57" s="13">
        <x:v>25</x:v>
      </x:c>
      <x:c r="H57" s="13">
        <x:v>22</x:v>
      </x:c>
      <x:c r="I57" s="13">
        <x:v>22</x:v>
      </x:c>
      <x:c r="J57" s="13">
        <x:v>22</x:v>
      </x:c>
      <x:c r="K57" s="13">
        <x:v>23</x:v>
      </x:c>
      <x:c r="L57" s="13">
        <x:v>23</x:v>
      </x:c>
      <x:c r="M57" s="13">
        <x:v>24</x:v>
      </x:c>
      <x:c r="N57" s="13">
        <x:v>22</x:v>
      </x:c>
      <x:c r="O57" s="13">
        <x:v>23</x:v>
      </x:c>
      <x:c r="P57" s="13">
        <x:v>23</x:v>
      </x:c>
      <x:c r="Q57" s="13" t="n">
        <x:f t="shared" si="0">COUNT(E57:P57)</x:f>
        <x:v>12</x:v>
      </x:c>
      <x:c r="R57" s="13" t="n">
        <x:f t="shared" si="1">SUM(E57:P57)</x:f>
        <x:v>279</x:v>
      </x:c>
      <x:c r="S57" s="14" t="n">
        <x:f>IF(Q57&gt;0,R57/Q57,"")</x:f>
        <x:v>23.25</x:v>
      </x:c>
      <x:c r="T57" s="15">
        <x:v>4693635</x:v>
      </x:c>
      <x:c r="U57" s="15">
        <x:v>3972530</x:v>
      </x:c>
      <x:c r="V57" s="14">
        <x:v>84983834</x:v>
      </x:c>
      <x:c r="W57" s="14" t="n">
        <x:f>IF(AND(Q57&gt;0,S57&gt;0,V57&lt;&gt;""),V57/S57/Q57,"")</x:f>
        <x:v>304601.55555555556</x:v>
      </x:c>
      <x:c r="X57" s="3" t="s">
        <x:v>197</x:v>
      </x:c>
    </x:row>
    <x:row r="58">
      <x:c r="A58" s="12" t="s">
        <x:v>198</x:v>
      </x:c>
      <x:c r="B58" s="3" t="s">
        <x:v>199</x:v>
      </x:c>
      <x:c r="C58" s="4" t="s">
        <x:v>200</x:v>
      </x:c>
      <x:c r="D58" s="5">
        <x:v>306</x:v>
      </x:c>
      <x:c r="E58" s="13">
        <x:v>8</x:v>
      </x:c>
      <x:c r="F58" s="13">
        <x:v>8</x:v>
      </x:c>
      <x:c r="G58" s="13">
        <x:v>8</x:v>
      </x:c>
      <x:c r="H58" s="13">
        <x:v>7</x:v>
      </x:c>
      <x:c r="I58" s="13">
        <x:v>6</x:v>
      </x:c>
      <x:c r="J58" s="13">
        <x:v>7</x:v>
      </x:c>
      <x:c r="K58" s="13">
        <x:v>7</x:v>
      </x:c>
      <x:c r="L58" s="13">
        <x:v>7</x:v>
      </x:c>
      <x:c r="M58" s="13">
        <x:v>6</x:v>
      </x:c>
      <x:c r="N58" s="13">
        <x:v>7</x:v>
      </x:c>
      <x:c r="O58" s="13">
        <x:v>7</x:v>
      </x:c>
      <x:c r="P58" s="13">
        <x:v>8</x:v>
      </x:c>
      <x:c r="Q58" s="13" t="n">
        <x:f t="shared" si="0">COUNT(E58:P58)</x:f>
        <x:v>12</x:v>
      </x:c>
      <x:c r="R58" s="13" t="n">
        <x:f t="shared" si="1">SUM(E58:P58)</x:f>
        <x:v>86</x:v>
      </x:c>
      <x:c r="S58" s="14" t="n">
        <x:f>IF(Q58&gt;0,R58/Q58,"")</x:f>
        <x:v>7.166666666666667</x:v>
      </x:c>
      <x:c r="T58" s="15">
        <x:v>1963963</x:v>
      </x:c>
      <x:c r="U58" s="15">
        <x:v>1419792</x:v>
      </x:c>
      <x:c r="V58" s="14">
        <x:v>26167221</x:v>
      </x:c>
      <x:c r="W58" s="14" t="n">
        <x:f>IF(AND(Q58&gt;0,S58&gt;0,V58&lt;&gt;""),V58/S58/Q58,"")</x:f>
        <x:v>304270.011627907</x:v>
      </x:c>
      <x:c r="X58" s="3" t="s">
        <x:v>201</x:v>
      </x:c>
    </x:row>
    <x:row r="59">
      <x:c r="A59" s="12" t="s">
        <x:v>150</x:v>
      </x:c>
      <x:c r="B59" s="3" t="s">
        <x:v>202</x:v>
      </x:c>
      <x:c r="C59" s="4" t="s">
        <x:v>203</x:v>
      </x:c>
      <x:c r="D59" s="5">
        <x:v>306</x:v>
      </x:c>
      <x:c r="E59" s="13">
        <x:v>10</x:v>
      </x:c>
      <x:c r="F59" s="13">
        <x:v>11</x:v>
      </x:c>
      <x:c r="G59" s="13">
        <x:v>10</x:v>
      </x:c>
      <x:c r="H59" s="13">
        <x:v>10</x:v>
      </x:c>
      <x:c r="I59" s="13">
        <x:v>10</x:v>
      </x:c>
      <x:c r="J59" s="13">
        <x:v>11</x:v>
      </x:c>
      <x:c r="K59" s="13">
        <x:v>11</x:v>
      </x:c>
      <x:c r="L59" s="13">
        <x:v>11</x:v>
      </x:c>
      <x:c r="M59" s="13">
        <x:v>8</x:v>
      </x:c>
      <x:c r="N59" s="13">
        <x:v>8</x:v>
      </x:c>
      <x:c r="O59" s="13">
        <x:v>9</x:v>
      </x:c>
      <x:c r="P59" s="13">
        <x:v>8</x:v>
      </x:c>
      <x:c r="Q59" s="13" t="n">
        <x:f t="shared" si="0">COUNT(E59:P59)</x:f>
        <x:v>12</x:v>
      </x:c>
      <x:c r="R59" s="13" t="n">
        <x:f t="shared" si="1">SUM(E59:P59)</x:f>
        <x:v>117</x:v>
      </x:c>
      <x:c r="S59" s="14" t="n">
        <x:f>IF(Q59&gt;0,R59/Q59,"")</x:f>
        <x:v>9.75</x:v>
      </x:c>
      <x:c r="T59" s="15">
        <x:v>2322621</x:v>
      </x:c>
      <x:c r="U59" s="15">
        <x:v>1272661</x:v>
      </x:c>
      <x:c r="V59" s="14">
        <x:v>35523306</x:v>
      </x:c>
      <x:c r="W59" s="14" t="n">
        <x:f>IF(AND(Q59&gt;0,S59&gt;0,V59&lt;&gt;""),V59/S59/Q59,"")</x:f>
        <x:v>303618</x:v>
      </x:c>
      <x:c r="X59" s="3" t="s">
        <x:v>204</x:v>
      </x:c>
    </x:row>
    <x:row r="60">
      <x:c r="A60" s="12" t="s">
        <x:v>158</x:v>
      </x:c>
      <x:c r="B60" s="3" t="s">
        <x:v>159</x:v>
      </x:c>
      <x:c r="C60" s="4" t="s">
        <x:v>205</x:v>
      </x:c>
      <x:c r="D60" s="5">
        <x:v>306</x:v>
      </x:c>
      <x:c r="E60" s="13">
        <x:v>33</x:v>
      </x:c>
      <x:c r="F60" s="13">
        <x:v>33</x:v>
      </x:c>
      <x:c r="G60" s="13">
        <x:v>33</x:v>
      </x:c>
      <x:c r="H60" s="13">
        <x:v>33</x:v>
      </x:c>
      <x:c r="I60" s="13">
        <x:v>33</x:v>
      </x:c>
      <x:c r="J60" s="13">
        <x:v>33</x:v>
      </x:c>
      <x:c r="K60" s="13">
        <x:v>40</x:v>
      </x:c>
      <x:c r="L60" s="13">
        <x:v>40</x:v>
      </x:c>
      <x:c r="M60" s="13">
        <x:v>40</x:v>
      </x:c>
      <x:c r="N60" s="13">
        <x:v>39</x:v>
      </x:c>
      <x:c r="O60" s="13">
        <x:v>39</x:v>
      </x:c>
      <x:c r="P60" s="13">
        <x:v>39</x:v>
      </x:c>
      <x:c r="Q60" s="13" t="n">
        <x:f t="shared" si="0">COUNT(E60:P60)</x:f>
        <x:v>12</x:v>
      </x:c>
      <x:c r="R60" s="13" t="n">
        <x:f t="shared" si="1">SUM(E60:P60)</x:f>
        <x:v>435</x:v>
      </x:c>
      <x:c r="S60" s="14" t="n">
        <x:f>IF(Q60&gt;0,R60/Q60,"")</x:f>
        <x:v>36.25</x:v>
      </x:c>
      <x:c r="T60" s="15">
        <x:v>8830830</x:v>
      </x:c>
      <x:c r="U60" s="15">
        <x:v>4936414</x:v>
      </x:c>
      <x:c r="V60" s="14">
        <x:v>129549507</x:v>
      </x:c>
      <x:c r="W60" s="14" t="n">
        <x:f>IF(AND(Q60&gt;0,S60&gt;0,V60&lt;&gt;""),V60/S60/Q60,"")</x:f>
        <x:v>297814.95862068963</x:v>
      </x:c>
      <x:c r="X60" s="3" t="s">
        <x:v>206</x:v>
      </x:c>
    </x:row>
    <x:row r="61">
      <x:c r="A61" s="12" t="s">
        <x:v>207</x:v>
      </x:c>
      <x:c r="B61" s="3" t="s">
        <x:v>208</x:v>
      </x:c>
      <x:c r="C61" s="4" t="s">
        <x:v>209</x:v>
      </x:c>
      <x:c r="D61" s="5">
        <x:v>306</x:v>
      </x:c>
      <x:c r="E61" s="13"/>
      <x:c r="F61" s="13"/>
      <x:c r="G61" s="13"/>
      <x:c r="H61" s="13"/>
      <x:c r="I61" s="13"/>
      <x:c r="J61" s="13"/>
      <x:c r="K61" s="13">
        <x:v>5</x:v>
      </x:c>
      <x:c r="L61" s="13">
        <x:v>5</x:v>
      </x:c>
      <x:c r="M61" s="13">
        <x:v>6</x:v>
      </x:c>
      <x:c r="N61" s="13">
        <x:v>4</x:v>
      </x:c>
      <x:c r="O61" s="13">
        <x:v>4</x:v>
      </x:c>
      <x:c r="P61" s="13">
        <x:v>3</x:v>
      </x:c>
      <x:c r="Q61" s="13" t="n">
        <x:f t="shared" si="0">COUNT(E61:P61)</x:f>
        <x:v>6</x:v>
      </x:c>
      <x:c r="R61" s="13" t="n">
        <x:f t="shared" si="1">SUM(E61:P61)</x:f>
        <x:v>27</x:v>
      </x:c>
      <x:c r="S61" s="14" t="n">
        <x:f>IF(Q61&gt;0,R61/Q61,"")</x:f>
        <x:v>4.5</x:v>
      </x:c>
      <x:c r="T61" s="15">
        <x:v>555253</x:v>
      </x:c>
      <x:c r="U61" s="15">
        <x:v>0</x:v>
      </x:c>
      <x:c r="V61" s="14">
        <x:v>7999507</x:v>
      </x:c>
      <x:c r="W61" s="14" t="n">
        <x:f>IF(AND(Q61&gt;0,S61&gt;0,V61&lt;&gt;""),V61/S61/Q61,"")</x:f>
        <x:v>296278.037037037</x:v>
      </x:c>
      <x:c r="X61" s="3" t="s">
        <x:v>210</x:v>
      </x:c>
    </x:row>
    <x:row r="62">
      <x:c r="A62" s="12" t="s">
        <x:v>25</x:v>
      </x:c>
      <x:c r="B62" s="3" t="s">
        <x:v>26</x:v>
      </x:c>
      <x:c r="C62" s="4" t="s">
        <x:v>211</x:v>
      </x:c>
      <x:c r="D62" s="5">
        <x:v>306</x:v>
      </x:c>
      <x:c r="E62" s="13">
        <x:v>35</x:v>
      </x:c>
      <x:c r="F62" s="13">
        <x:v>35</x:v>
      </x:c>
      <x:c r="G62" s="13">
        <x:v>35</x:v>
      </x:c>
      <x:c r="H62" s="13">
        <x:v>34</x:v>
      </x:c>
      <x:c r="I62" s="13">
        <x:v>34</x:v>
      </x:c>
      <x:c r="J62" s="13">
        <x:v>34</x:v>
      </x:c>
      <x:c r="K62" s="13">
        <x:v>33</x:v>
      </x:c>
      <x:c r="L62" s="13">
        <x:v>33</x:v>
      </x:c>
      <x:c r="M62" s="13">
        <x:v>33</x:v>
      </x:c>
      <x:c r="N62" s="13">
        <x:v>36</x:v>
      </x:c>
      <x:c r="O62" s="13">
        <x:v>36</x:v>
      </x:c>
      <x:c r="P62" s="13">
        <x:v>36</x:v>
      </x:c>
      <x:c r="Q62" s="13" t="n">
        <x:f t="shared" si="0">COUNT(E62:P62)</x:f>
        <x:v>12</x:v>
      </x:c>
      <x:c r="R62" s="13" t="n">
        <x:f t="shared" si="1">SUM(E62:P62)</x:f>
        <x:v>414</x:v>
      </x:c>
      <x:c r="S62" s="14" t="n">
        <x:f>IF(Q62&gt;0,R62/Q62,"")</x:f>
        <x:v>34.5</x:v>
      </x:c>
      <x:c r="T62" s="15">
        <x:v>8256146</x:v>
      </x:c>
      <x:c r="U62" s="15">
        <x:v>6360452</x:v>
      </x:c>
      <x:c r="V62" s="14">
        <x:v>121336933</x:v>
      </x:c>
      <x:c r="W62" s="14" t="n">
        <x:f>IF(AND(Q62&gt;0,S62&gt;0,V62&lt;&gt;""),V62/S62/Q62,"")</x:f>
        <x:v>293084.37922705314</x:v>
      </x:c>
      <x:c r="X62" s="3" t="s">
        <x:v>212</x:v>
      </x:c>
    </x:row>
    <x:row r="63">
      <x:c r="A63" s="12" t="s">
        <x:v>25</x:v>
      </x:c>
      <x:c r="B63" s="3" t="s">
        <x:v>26</x:v>
      </x:c>
      <x:c r="C63" s="4" t="s">
        <x:v>213</x:v>
      </x:c>
      <x:c r="D63" s="5">
        <x:v>306</x:v>
      </x:c>
      <x:c r="E63" s="13">
        <x:v>43</x:v>
      </x:c>
      <x:c r="F63" s="13">
        <x:v>43</x:v>
      </x:c>
      <x:c r="G63" s="13">
        <x:v>43</x:v>
      </x:c>
      <x:c r="H63" s="13">
        <x:v>43</x:v>
      </x:c>
      <x:c r="I63" s="13">
        <x:v>43</x:v>
      </x:c>
      <x:c r="J63" s="13">
        <x:v>43</x:v>
      </x:c>
      <x:c r="K63" s="13">
        <x:v>49</x:v>
      </x:c>
      <x:c r="L63" s="13">
        <x:v>49</x:v>
      </x:c>
      <x:c r="M63" s="13">
        <x:v>49</x:v>
      </x:c>
      <x:c r="N63" s="13">
        <x:v>51</x:v>
      </x:c>
      <x:c r="O63" s="13">
        <x:v>51</x:v>
      </x:c>
      <x:c r="P63" s="13">
        <x:v>51</x:v>
      </x:c>
      <x:c r="Q63" s="13" t="n">
        <x:f t="shared" si="0">COUNT(E63:P63)</x:f>
        <x:v>12</x:v>
      </x:c>
      <x:c r="R63" s="13" t="n">
        <x:f t="shared" si="1">SUM(E63:P63)</x:f>
        <x:v>558</x:v>
      </x:c>
      <x:c r="S63" s="14" t="n">
        <x:f>IF(Q63&gt;0,R63/Q63,"")</x:f>
        <x:v>46.5</x:v>
      </x:c>
      <x:c r="T63" s="15">
        <x:v>10632707</x:v>
      </x:c>
      <x:c r="U63" s="15">
        <x:v>8054344</x:v>
      </x:c>
      <x:c r="V63" s="14">
        <x:v>161609341</x:v>
      </x:c>
      <x:c r="W63" s="14" t="n">
        <x:f>IF(AND(Q63&gt;0,S63&gt;0,V63&lt;&gt;""),V63/S63/Q63,"")</x:f>
        <x:v>289622.47491039423</x:v>
      </x:c>
      <x:c r="X63" s="3" t="s">
        <x:v>214</x:v>
      </x:c>
    </x:row>
    <x:row r="64">
      <x:c r="A64" s="12" t="s">
        <x:v>25</x:v>
      </x:c>
      <x:c r="B64" s="3" t="s">
        <x:v>26</x:v>
      </x:c>
      <x:c r="C64" s="4" t="s">
        <x:v>215</x:v>
      </x:c>
      <x:c r="D64" s="5">
        <x:v>306</x:v>
      </x:c>
      <x:c r="E64" s="13">
        <x:v>37</x:v>
      </x:c>
      <x:c r="F64" s="13">
        <x:v>37</x:v>
      </x:c>
      <x:c r="G64" s="13">
        <x:v>37</x:v>
      </x:c>
      <x:c r="H64" s="13">
        <x:v>38</x:v>
      </x:c>
      <x:c r="I64" s="13">
        <x:v>38</x:v>
      </x:c>
      <x:c r="J64" s="13">
        <x:v>38</x:v>
      </x:c>
      <x:c r="K64" s="13">
        <x:v>43</x:v>
      </x:c>
      <x:c r="L64" s="13">
        <x:v>43</x:v>
      </x:c>
      <x:c r="M64" s="13">
        <x:v>43</x:v>
      </x:c>
      <x:c r="N64" s="13">
        <x:v>38</x:v>
      </x:c>
      <x:c r="O64" s="13">
        <x:v>38</x:v>
      </x:c>
      <x:c r="P64" s="13">
        <x:v>38</x:v>
      </x:c>
      <x:c r="Q64" s="13" t="n">
        <x:f t="shared" si="0">COUNT(E64:P64)</x:f>
        <x:v>12</x:v>
      </x:c>
      <x:c r="R64" s="13" t="n">
        <x:f t="shared" si="1">SUM(E64:P64)</x:f>
        <x:v>468</x:v>
      </x:c>
      <x:c r="S64" s="14" t="n">
        <x:f>IF(Q64&gt;0,R64/Q64,"")</x:f>
        <x:v>39</x:v>
      </x:c>
      <x:c r="T64" s="15">
        <x:v>9307891</x:v>
      </x:c>
      <x:c r="U64" s="15">
        <x:v>7300369</x:v>
      </x:c>
      <x:c r="V64" s="14">
        <x:v>134499905</x:v>
      </x:c>
      <x:c r="W64" s="14" t="n">
        <x:f>IF(AND(Q64&gt;0,S64&gt;0,V64&lt;&gt;""),V64/S64/Q64,"")</x:f>
        <x:v>287392.95940170944</x:v>
      </x:c>
      <x:c r="X64" s="3" t="s">
        <x:v>216</x:v>
      </x:c>
    </x:row>
    <x:row r="65">
      <x:c r="A65" s="12" t="s">
        <x:v>198</x:v>
      </x:c>
      <x:c r="B65" s="3" t="s">
        <x:v>217</x:v>
      </x:c>
      <x:c r="C65" s="4" t="s">
        <x:v>218</x:v>
      </x:c>
      <x:c r="D65" s="5">
        <x:v>306</x:v>
      </x:c>
      <x:c r="E65" s="13">
        <x:v>10</x:v>
      </x:c>
      <x:c r="F65" s="13">
        <x:v>11</x:v>
      </x:c>
      <x:c r="G65" s="13">
        <x:v>10</x:v>
      </x:c>
      <x:c r="H65" s="13">
        <x:v>10</x:v>
      </x:c>
      <x:c r="I65" s="13">
        <x:v>10</x:v>
      </x:c>
      <x:c r="J65" s="13">
        <x:v>10</x:v>
      </x:c>
      <x:c r="K65" s="13">
        <x:v>11</x:v>
      </x:c>
      <x:c r="L65" s="13">
        <x:v>11</x:v>
      </x:c>
      <x:c r="M65" s="13">
        <x:v>12</x:v>
      </x:c>
      <x:c r="N65" s="13">
        <x:v>12</x:v>
      </x:c>
      <x:c r="O65" s="13">
        <x:v>12</x:v>
      </x:c>
      <x:c r="P65" s="13">
        <x:v>12</x:v>
      </x:c>
      <x:c r="Q65" s="13" t="n">
        <x:f t="shared" si="0">COUNT(E65:P65)</x:f>
        <x:v>12</x:v>
      </x:c>
      <x:c r="R65" s="13" t="n">
        <x:f t="shared" si="1">SUM(E65:P65)</x:f>
        <x:v>131</x:v>
      </x:c>
      <x:c r="S65" s="14" t="n">
        <x:f>IF(Q65&gt;0,R65/Q65,"")</x:f>
        <x:v>10.916666666666666</x:v>
      </x:c>
      <x:c r="T65" s="15">
        <x:v>2347938</x:v>
      </x:c>
      <x:c r="U65" s="15">
        <x:v>2030408</x:v>
      </x:c>
      <x:c r="V65" s="14">
        <x:v>36831144</x:v>
      </x:c>
      <x:c r="W65" s="14" t="n">
        <x:f>IF(AND(Q65&gt;0,S65&gt;0,V65&lt;&gt;""),V65/S65/Q65,"")</x:f>
        <x:v>281153.7709923664</x:v>
      </x:c>
      <x:c r="X65" s="3" t="s">
        <x:v>219</x:v>
      </x:c>
    </x:row>
    <x:row r="66">
      <x:c r="A66" s="12" t="s">
        <x:v>220</x:v>
      </x:c>
      <x:c r="B66" s="3" t="s">
        <x:v>221</x:v>
      </x:c>
      <x:c r="C66" s="4" t="s">
        <x:v>222</x:v>
      </x:c>
      <x:c r="D66" s="5">
        <x:v>306</x:v>
      </x:c>
      <x:c r="E66" s="13">
        <x:v>1</x:v>
      </x:c>
      <x:c r="F66" s="13">
        <x:v>2</x:v>
      </x:c>
      <x:c r="G66" s="13">
        <x:v>2</x:v>
      </x:c>
      <x:c r="H66" s="13">
        <x:v>1</x:v>
      </x:c>
      <x:c r="I66" s="13">
        <x:v>1</x:v>
      </x:c>
      <x:c r="J66" s="13">
        <x:v>1</x:v>
      </x:c>
      <x:c r="K66" s="13">
        <x:v>1</x:v>
      </x:c>
      <x:c r="L66" s="13">
        <x:v>1</x:v>
      </x:c>
      <x:c r="M66" s="13">
        <x:v>1</x:v>
      </x:c>
      <x:c r="N66" s="13">
        <x:v>2</x:v>
      </x:c>
      <x:c r="O66" s="13">
        <x:v>2</x:v>
      </x:c>
      <x:c r="P66" s="13">
        <x:v>2</x:v>
      </x:c>
      <x:c r="Q66" s="13" t="n">
        <x:f t="shared" si="0">COUNT(E66:P66)</x:f>
        <x:v>12</x:v>
      </x:c>
      <x:c r="R66" s="13" t="n">
        <x:f t="shared" si="1">SUM(E66:P66)</x:f>
        <x:v>17</x:v>
      </x:c>
      <x:c r="S66" s="14" t="n">
        <x:f>IF(Q66&gt;0,R66/Q66,"")</x:f>
        <x:v>1.4166666666666667</x:v>
      </x:c>
      <x:c r="T66" s="15">
        <x:v>324327</x:v>
      </x:c>
      <x:c r="U66" s="15">
        <x:v>0</x:v>
      </x:c>
      <x:c r="V66" s="14">
        <x:v>4755000</x:v>
      </x:c>
      <x:c r="W66" s="14" t="n">
        <x:f>IF(AND(Q66&gt;0,S66&gt;0,V66&lt;&gt;""),V66/S66/Q66,"")</x:f>
        <x:v>279705.88235294115</x:v>
      </x:c>
      <x:c r="X66" s="3" t="s">
        <x:v>223</x:v>
      </x:c>
    </x:row>
    <x:row r="67">
      <x:c r="A67" s="12" t="s">
        <x:v>25</x:v>
      </x:c>
      <x:c r="B67" s="3" t="s">
        <x:v>26</x:v>
      </x:c>
      <x:c r="C67" s="4" t="s">
        <x:v>224</x:v>
      </x:c>
      <x:c r="D67" s="5">
        <x:v>306</x:v>
      </x:c>
      <x:c r="E67" s="13">
        <x:v>94</x:v>
      </x:c>
      <x:c r="F67" s="13">
        <x:v>94</x:v>
      </x:c>
      <x:c r="G67" s="13">
        <x:v>94</x:v>
      </x:c>
      <x:c r="H67" s="13"/>
      <x:c r="I67" s="13"/>
      <x:c r="J67" s="13"/>
      <x:c r="K67" s="13">
        <x:v>40</x:v>
      </x:c>
      <x:c r="L67" s="13">
        <x:v>40</x:v>
      </x:c>
      <x:c r="M67" s="13">
        <x:v>40</x:v>
      </x:c>
      <x:c r="N67" s="13">
        <x:v>44</x:v>
      </x:c>
      <x:c r="O67" s="13">
        <x:v>44</x:v>
      </x:c>
      <x:c r="P67" s="13">
        <x:v>44</x:v>
      </x:c>
      <x:c r="Q67" s="13" t="n">
        <x:f t="shared" si="0">COUNT(E67:P67)</x:f>
        <x:v>9</x:v>
      </x:c>
      <x:c r="R67" s="13" t="n">
        <x:f t="shared" si="1">SUM(E67:P67)</x:f>
        <x:v>534</x:v>
      </x:c>
      <x:c r="S67" s="14" t="n">
        <x:f>IF(Q67&gt;0,R67/Q67,"")</x:f>
        <x:v>59.333333333333336</x:v>
      </x:c>
      <x:c r="T67" s="15">
        <x:v>10123324</x:v>
      </x:c>
      <x:c r="U67" s="15">
        <x:v>6330966</x:v>
      </x:c>
      <x:c r="V67" s="14">
        <x:v>148411576</x:v>
      </x:c>
      <x:c r="W67" s="14" t="n">
        <x:f>IF(AND(Q67&gt;0,S67&gt;0,V67&lt;&gt;""),V67/S67/Q67,"")</x:f>
        <x:v>277924.29962546815</x:v>
      </x:c>
      <x:c r="X67" s="3" t="s">
        <x:v>225</x:v>
      </x:c>
    </x:row>
    <x:row r="68">
      <x:c r="A68" s="12" t="s">
        <x:v>128</x:v>
      </x:c>
      <x:c r="B68" s="3" t="s">
        <x:v>129</x:v>
      </x:c>
      <x:c r="C68" s="4" t="s">
        <x:v>226</x:v>
      </x:c>
      <x:c r="D68" s="5">
        <x:v>306</x:v>
      </x:c>
      <x:c r="E68" s="13">
        <x:v>6</x:v>
      </x:c>
      <x:c r="F68" s="13">
        <x:v>6</x:v>
      </x:c>
      <x:c r="G68" s="13">
        <x:v>6</x:v>
      </x:c>
      <x:c r="H68" s="13">
        <x:v>7</x:v>
      </x:c>
      <x:c r="I68" s="13">
        <x:v>7</x:v>
      </x:c>
      <x:c r="J68" s="13">
        <x:v>7</x:v>
      </x:c>
      <x:c r="K68" s="13"/>
      <x:c r="L68" s="13"/>
      <x:c r="M68" s="13"/>
      <x:c r="N68" s="13"/>
      <x:c r="O68" s="13"/>
      <x:c r="P68" s="13"/>
      <x:c r="Q68" s="13" t="n">
        <x:f t="shared" ref="Q68:Q131" si="3">COUNT(E68:P68)</x:f>
        <x:v>6</x:v>
      </x:c>
      <x:c r="R68" s="13" t="n">
        <x:f t="shared" ref="R68:R131" si="4">SUM(E68:P68)</x:f>
        <x:v>39</x:v>
      </x:c>
      <x:c r="S68" s="14" t="n">
        <x:f>IF(Q68&gt;0,R68/Q68,"")</x:f>
        <x:v>6.5</x:v>
      </x:c>
      <x:c r="T68" s="15">
        <x:v>923962</x:v>
      </x:c>
      <x:c r="U68" s="15">
        <x:v>565721</x:v>
      </x:c>
      <x:c r="V68" s="14">
        <x:v>10835544</x:v>
      </x:c>
      <x:c r="W68" s="14" t="n">
        <x:f>IF(AND(Q68&gt;0,S68&gt;0,V68&lt;&gt;""),V68/S68/Q68,"")</x:f>
        <x:v>277834.46153846156</x:v>
      </x:c>
      <x:c r="X68" s="3" t="s">
        <x:v>227</x:v>
      </x:c>
    </x:row>
    <x:row r="69">
      <x:c r="A69" s="12" t="s">
        <x:v>228</x:v>
      </x:c>
      <x:c r="B69" s="3" t="s">
        <x:v>229</x:v>
      </x:c>
      <x:c r="C69" s="4" t="s">
        <x:v>230</x:v>
      </x:c>
      <x:c r="D69" s="5">
        <x:v>306</x:v>
      </x:c>
      <x:c r="E69" s="13">
        <x:v>5</x:v>
      </x:c>
      <x:c r="F69" s="13">
        <x:v>5</x:v>
      </x:c>
      <x:c r="G69" s="13">
        <x:v>5</x:v>
      </x:c>
      <x:c r="H69" s="13">
        <x:v>10</x:v>
      </x:c>
      <x:c r="I69" s="13">
        <x:v>10</x:v>
      </x:c>
      <x:c r="J69" s="13">
        <x:v>10</x:v>
      </x:c>
      <x:c r="K69" s="13">
        <x:v>10</x:v>
      </x:c>
      <x:c r="L69" s="13">
        <x:v>10</x:v>
      </x:c>
      <x:c r="M69" s="13">
        <x:v>11</x:v>
      </x:c>
      <x:c r="N69" s="13">
        <x:v>10</x:v>
      </x:c>
      <x:c r="O69" s="13">
        <x:v>10</x:v>
      </x:c>
      <x:c r="P69" s="13">
        <x:v>10</x:v>
      </x:c>
      <x:c r="Q69" s="13" t="n">
        <x:f t="shared" si="3">COUNT(E69:P69)</x:f>
        <x:v>12</x:v>
      </x:c>
      <x:c r="R69" s="13" t="n">
        <x:f t="shared" si="4">SUM(E69:P69)</x:f>
        <x:v>106</x:v>
      </x:c>
      <x:c r="S69" s="14" t="n">
        <x:f>IF(Q69&gt;0,R69/Q69,"")</x:f>
        <x:v>8.833333333333334</x:v>
      </x:c>
      <x:c r="T69" s="15">
        <x:v>2540616</x:v>
      </x:c>
      <x:c r="U69" s="15">
        <x:v>1918800</x:v>
      </x:c>
      <x:c r="V69" s="14">
        <x:v>29450000</x:v>
      </x:c>
      <x:c r="W69" s="14" t="n">
        <x:f>IF(AND(Q69&gt;0,S69&gt;0,V69&lt;&gt;""),V69/S69/Q69,"")</x:f>
        <x:v>277830.18867924524</x:v>
      </x:c>
      <x:c r="X69" s="3" t="s">
        <x:v>231</x:v>
      </x:c>
    </x:row>
    <x:row r="70">
      <x:c r="A70" s="12" t="s">
        <x:v>232</x:v>
      </x:c>
      <x:c r="B70" s="3" t="s">
        <x:v>233</x:v>
      </x:c>
      <x:c r="C70" s="4" t="s">
        <x:v>234</x:v>
      </x:c>
      <x:c r="D70" s="5">
        <x:v>306</x:v>
      </x:c>
      <x:c r="E70" s="13">
        <x:v>2</x:v>
      </x:c>
      <x:c r="F70" s="13">
        <x:v>3</x:v>
      </x:c>
      <x:c r="G70" s="13">
        <x:v>2</x:v>
      </x:c>
      <x:c r="H70" s="13">
        <x:v>2</x:v>
      </x:c>
      <x:c r="I70" s="13">
        <x:v>2</x:v>
      </x:c>
      <x:c r="J70" s="13">
        <x:v>2</x:v>
      </x:c>
      <x:c r="K70" s="13">
        <x:v>2</x:v>
      </x:c>
      <x:c r="L70" s="13">
        <x:v>2</x:v>
      </x:c>
      <x:c r="M70" s="13">
        <x:v>2</x:v>
      </x:c>
      <x:c r="N70" s="13">
        <x:v>2</x:v>
      </x:c>
      <x:c r="O70" s="13">
        <x:v>2</x:v>
      </x:c>
      <x:c r="P70" s="13">
        <x:v>2</x:v>
      </x:c>
      <x:c r="Q70" s="13" t="n">
        <x:f t="shared" si="3">COUNT(E70:P70)</x:f>
        <x:v>12</x:v>
      </x:c>
      <x:c r="R70" s="13" t="n">
        <x:f t="shared" si="4">SUM(E70:P70)</x:f>
        <x:v>25</x:v>
      </x:c>
      <x:c r="S70" s="14" t="n">
        <x:f>IF(Q70&gt;0,R70/Q70,"")</x:f>
        <x:v>2.0833333333333335</x:v>
      </x:c>
      <x:c r="T70" s="15">
        <x:v>474631</x:v>
      </x:c>
      <x:c r="U70" s="15">
        <x:v>0</x:v>
      </x:c>
      <x:c r="V70" s="14">
        <x:v>6862000</x:v>
      </x:c>
      <x:c r="W70" s="14" t="n">
        <x:f>IF(AND(Q70&gt;0,S70&gt;0,V70&lt;&gt;""),V70/S70/Q70,"")</x:f>
        <x:v>274479.99999999994</x:v>
      </x:c>
      <x:c r="X70" s="3" t="s">
        <x:v>235</x:v>
      </x:c>
    </x:row>
    <x:row r="71">
      <x:c r="A71" s="12" t="s">
        <x:v>236</x:v>
      </x:c>
      <x:c r="B71" s="3" t="s">
        <x:v>237</x:v>
      </x:c>
      <x:c r="C71" s="4" t="s">
        <x:v>238</x:v>
      </x:c>
      <x:c r="D71" s="5">
        <x:v>306</x:v>
      </x:c>
      <x:c r="E71" s="13">
        <x:v>16</x:v>
      </x:c>
      <x:c r="F71" s="13">
        <x:v>16</x:v>
      </x:c>
      <x:c r="G71" s="13">
        <x:v>16</x:v>
      </x:c>
      <x:c r="H71" s="13">
        <x:v>40</x:v>
      </x:c>
      <x:c r="I71" s="13">
        <x:v>40</x:v>
      </x:c>
      <x:c r="J71" s="13">
        <x:v>40</x:v>
      </x:c>
      <x:c r="K71" s="13">
        <x:v>2</x:v>
      </x:c>
      <x:c r="L71" s="13">
        <x:v>2</x:v>
      </x:c>
      <x:c r="M71" s="13">
        <x:v>2</x:v>
      </x:c>
      <x:c r="N71" s="13">
        <x:v>38</x:v>
      </x:c>
      <x:c r="O71" s="13">
        <x:v>38</x:v>
      </x:c>
      <x:c r="P71" s="13">
        <x:v>38</x:v>
      </x:c>
      <x:c r="Q71" s="13" t="n">
        <x:f t="shared" si="3">COUNT(E71:P71)</x:f>
        <x:v>12</x:v>
      </x:c>
      <x:c r="R71" s="13" t="n">
        <x:f t="shared" si="4">SUM(E71:P71)</x:f>
        <x:v>288</x:v>
      </x:c>
      <x:c r="S71" s="14" t="n">
        <x:f>IF(Q71&gt;0,R71/Q71,"")</x:f>
        <x:v>24</x:v>
      </x:c>
      <x:c r="T71" s="15">
        <x:v>4772873</x:v>
      </x:c>
      <x:c r="U71" s="15">
        <x:v>3935645</x:v>
      </x:c>
      <x:c r="V71" s="14">
        <x:v>78855557</x:v>
      </x:c>
      <x:c r="W71" s="14" t="n">
        <x:f>IF(AND(Q71&gt;0,S71&gt;0,V71&lt;&gt;""),V71/S71/Q71,"")</x:f>
        <x:v>273804.0173611111</x:v>
      </x:c>
      <x:c r="X71" s="3" t="s">
        <x:v>239</x:v>
      </x:c>
    </x:row>
    <x:row r="72">
      <x:c r="A72" s="12" t="s">
        <x:v>240</x:v>
      </x:c>
      <x:c r="B72" s="3" t="s">
        <x:v>241</x:v>
      </x:c>
      <x:c r="C72" s="4" t="s">
        <x:v>242</x:v>
      </x:c>
      <x:c r="D72" s="5">
        <x:v>306</x:v>
      </x:c>
      <x:c r="E72" s="13">
        <x:v>4</x:v>
      </x:c>
      <x:c r="F72" s="13">
        <x:v>4</x:v>
      </x:c>
      <x:c r="G72" s="13">
        <x:v>4</x:v>
      </x:c>
      <x:c r="H72" s="13">
        <x:v>4</x:v>
      </x:c>
      <x:c r="I72" s="13">
        <x:v>4</x:v>
      </x:c>
      <x:c r="J72" s="13">
        <x:v>4</x:v>
      </x:c>
      <x:c r="K72" s="13">
        <x:v>4</x:v>
      </x:c>
      <x:c r="L72" s="13">
        <x:v>4</x:v>
      </x:c>
      <x:c r="M72" s="13">
        <x:v>4</x:v>
      </x:c>
      <x:c r="N72" s="13">
        <x:v>4</x:v>
      </x:c>
      <x:c r="O72" s="13">
        <x:v>4</x:v>
      </x:c>
      <x:c r="P72" s="13">
        <x:v>4</x:v>
      </x:c>
      <x:c r="Q72" s="13" t="n">
        <x:f t="shared" si="3">COUNT(E72:P72)</x:f>
        <x:v>12</x:v>
      </x:c>
      <x:c r="R72" s="13" t="n">
        <x:f t="shared" si="4">SUM(E72:P72)</x:f>
        <x:v>48</x:v>
      </x:c>
      <x:c r="S72" s="14" t="n">
        <x:f>IF(Q72&gt;0,R72/Q72,"")</x:f>
        <x:v>4</x:v>
      </x:c>
      <x:c r="T72" s="15">
        <x:v>905040</x:v>
      </x:c>
      <x:c r="U72" s="15">
        <x:v>682704</x:v>
      </x:c>
      <x:c r="V72" s="14">
        <x:v>13104000</x:v>
      </x:c>
      <x:c r="W72" s="14" t="n">
        <x:f>IF(AND(Q72&gt;0,S72&gt;0,V72&lt;&gt;""),V72/S72/Q72,"")</x:f>
        <x:v>273000</x:v>
      </x:c>
      <x:c r="X72" s="3" t="s">
        <x:v>243</x:v>
      </x:c>
    </x:row>
    <x:row r="73">
      <x:c r="A73" s="12" t="s">
        <x:v>236</x:v>
      </x:c>
      <x:c r="B73" s="3" t="s">
        <x:v>237</x:v>
      </x:c>
      <x:c r="C73" s="4" t="s">
        <x:v>244</x:v>
      </x:c>
      <x:c r="D73" s="5">
        <x:v>306</x:v>
      </x:c>
      <x:c r="E73" s="13">
        <x:v>34</x:v>
      </x:c>
      <x:c r="F73" s="13">
        <x:v>34</x:v>
      </x:c>
      <x:c r="G73" s="13">
        <x:v>32</x:v>
      </x:c>
      <x:c r="H73" s="13">
        <x:v>35</x:v>
      </x:c>
      <x:c r="I73" s="13">
        <x:v>33</x:v>
      </x:c>
      <x:c r="J73" s="13">
        <x:v>31</x:v>
      </x:c>
      <x:c r="K73" s="13">
        <x:v>32</x:v>
      </x:c>
      <x:c r="L73" s="13">
        <x:v>30</x:v>
      </x:c>
      <x:c r="M73" s="13">
        <x:v>29</x:v>
      </x:c>
      <x:c r="N73" s="13">
        <x:v>32</x:v>
      </x:c>
      <x:c r="O73" s="13">
        <x:v>32</x:v>
      </x:c>
      <x:c r="P73" s="13">
        <x:v>32</x:v>
      </x:c>
      <x:c r="Q73" s="13" t="n">
        <x:f t="shared" si="3">COUNT(E73:P73)</x:f>
        <x:v>12</x:v>
      </x:c>
      <x:c r="R73" s="13" t="n">
        <x:f t="shared" si="4">SUM(E73:P73)</x:f>
        <x:v>386</x:v>
      </x:c>
      <x:c r="S73" s="14" t="n">
        <x:f>IF(Q73&gt;0,R73/Q73,"")</x:f>
        <x:v>32.166666666666664</x:v>
      </x:c>
      <x:c r="T73" s="15">
        <x:v>6749997</x:v>
      </x:c>
      <x:c r="U73" s="15">
        <x:v>5508309</x:v>
      </x:c>
      <x:c r="V73" s="14">
        <x:v>104702862</x:v>
      </x:c>
      <x:c r="W73" s="14" t="n">
        <x:f>IF(AND(Q73&gt;0,S73&gt;0,V73&lt;&gt;""),V73/S73/Q73,"")</x:f>
        <x:v>271250.9378238342</x:v>
      </x:c>
      <x:c r="X73" s="3" t="s">
        <x:v>245</x:v>
      </x:c>
    </x:row>
    <x:row r="74">
      <x:c r="A74" s="12" t="s">
        <x:v>25</x:v>
      </x:c>
      <x:c r="B74" s="3" t="s">
        <x:v>26</x:v>
      </x:c>
      <x:c r="C74" s="4" t="s">
        <x:v>246</x:v>
      </x:c>
      <x:c r="D74" s="5">
        <x:v>306</x:v>
      </x:c>
      <x:c r="E74" s="13">
        <x:v>36</x:v>
      </x:c>
      <x:c r="F74" s="13">
        <x:v>36</x:v>
      </x:c>
      <x:c r="G74" s="13">
        <x:v>36</x:v>
      </x:c>
      <x:c r="H74" s="13">
        <x:v>35</x:v>
      </x:c>
      <x:c r="I74" s="13">
        <x:v>35</x:v>
      </x:c>
      <x:c r="J74" s="13">
        <x:v>35</x:v>
      </x:c>
      <x:c r="K74" s="13">
        <x:v>38</x:v>
      </x:c>
      <x:c r="L74" s="13">
        <x:v>38</x:v>
      </x:c>
      <x:c r="M74" s="13">
        <x:v>38</x:v>
      </x:c>
      <x:c r="N74" s="13">
        <x:v>38</x:v>
      </x:c>
      <x:c r="O74" s="13">
        <x:v>38</x:v>
      </x:c>
      <x:c r="P74" s="13">
        <x:v>38</x:v>
      </x:c>
      <x:c r="Q74" s="13" t="n">
        <x:f t="shared" si="3">COUNT(E74:P74)</x:f>
        <x:v>12</x:v>
      </x:c>
      <x:c r="R74" s="13" t="n">
        <x:f t="shared" si="4">SUM(E74:P74)</x:f>
        <x:v>441</x:v>
      </x:c>
      <x:c r="S74" s="14" t="n">
        <x:f>IF(Q74&gt;0,R74/Q74,"")</x:f>
        <x:v>36.75</x:v>
      </x:c>
      <x:c r="T74" s="15">
        <x:v>7943721</x:v>
      </x:c>
      <x:c r="U74" s="15">
        <x:v>4287476</x:v>
      </x:c>
      <x:c r="V74" s="14">
        <x:v>118599085</x:v>
      </x:c>
      <x:c r="W74" s="14" t="n">
        <x:f>IF(AND(Q74&gt;0,S74&gt;0,V74&lt;&gt;""),V74/S74/Q74,"")</x:f>
        <x:v>268932.1655328798</x:v>
      </x:c>
      <x:c r="X74" s="3" t="s">
        <x:v>247</x:v>
      </x:c>
    </x:row>
    <x:row r="75">
      <x:c r="A75" s="12" t="s">
        <x:v>248</x:v>
      </x:c>
      <x:c r="B75" s="3" t="s">
        <x:v>249</x:v>
      </x:c>
      <x:c r="C75" s="4" t="s">
        <x:v>250</x:v>
      </x:c>
      <x:c r="D75" s="5">
        <x:v>306</x:v>
      </x:c>
      <x:c r="E75" s="13">
        <x:v>64</x:v>
      </x:c>
      <x:c r="F75" s="13">
        <x:v>65</x:v>
      </x:c>
      <x:c r="G75" s="13">
        <x:v>65</x:v>
      </x:c>
      <x:c r="H75" s="13">
        <x:v>65</x:v>
      </x:c>
      <x:c r="I75" s="13">
        <x:v>66</x:v>
      </x:c>
      <x:c r="J75" s="13">
        <x:v>65</x:v>
      </x:c>
      <x:c r="K75" s="13">
        <x:v>64</x:v>
      </x:c>
      <x:c r="L75" s="13">
        <x:v>57</x:v>
      </x:c>
      <x:c r="M75" s="13">
        <x:v>73</x:v>
      </x:c>
      <x:c r="N75" s="13">
        <x:v>75</x:v>
      </x:c>
      <x:c r="O75" s="13">
        <x:v>72</x:v>
      </x:c>
      <x:c r="P75" s="13">
        <x:v>71</x:v>
      </x:c>
      <x:c r="Q75" s="13" t="n">
        <x:f t="shared" si="3">COUNT(E75:P75)</x:f>
        <x:v>12</x:v>
      </x:c>
      <x:c r="R75" s="13" t="n">
        <x:f t="shared" si="4">SUM(E75:P75)</x:f>
        <x:v>802</x:v>
      </x:c>
      <x:c r="S75" s="14" t="n">
        <x:f>IF(Q75&gt;0,R75/Q75,"")</x:f>
        <x:v>66.83333333333333</x:v>
      </x:c>
      <x:c r="T75" s="15">
        <x:v>14220255</x:v>
      </x:c>
      <x:c r="U75" s="15">
        <x:v>12310617</x:v>
      </x:c>
      <x:c r="V75" s="14">
        <x:v>215672259</x:v>
      </x:c>
      <x:c r="W75" s="14" t="n">
        <x:f>IF(AND(Q75&gt;0,S75&gt;0,V75&lt;&gt;""),V75/S75/Q75,"")</x:f>
        <x:v>268918.0286783042</x:v>
      </x:c>
      <x:c r="X75" s="3" t="s">
        <x:v>251</x:v>
      </x:c>
    </x:row>
    <x:row r="76">
      <x:c r="A76" s="12" t="s">
        <x:v>25</x:v>
      </x:c>
      <x:c r="B76" s="3" t="s">
        <x:v>26</x:v>
      </x:c>
      <x:c r="C76" s="4" t="s">
        <x:v>252</x:v>
      </x:c>
      <x:c r="D76" s="5">
        <x:v>306</x:v>
      </x:c>
      <x:c r="E76" s="13">
        <x:v>45</x:v>
      </x:c>
      <x:c r="F76" s="13">
        <x:v>45</x:v>
      </x:c>
      <x:c r="G76" s="13">
        <x:v>45</x:v>
      </x:c>
      <x:c r="H76" s="13">
        <x:v>47</x:v>
      </x:c>
      <x:c r="I76" s="13">
        <x:v>47</x:v>
      </x:c>
      <x:c r="J76" s="13">
        <x:v>47</x:v>
      </x:c>
      <x:c r="K76" s="13">
        <x:v>45</x:v>
      </x:c>
      <x:c r="L76" s="13">
        <x:v>45</x:v>
      </x:c>
      <x:c r="M76" s="13">
        <x:v>45</x:v>
      </x:c>
      <x:c r="N76" s="13">
        <x:v>48</x:v>
      </x:c>
      <x:c r="O76" s="13">
        <x:v>48</x:v>
      </x:c>
      <x:c r="P76" s="13">
        <x:v>48</x:v>
      </x:c>
      <x:c r="Q76" s="13" t="n">
        <x:f t="shared" si="3">COUNT(E76:P76)</x:f>
        <x:v>12</x:v>
      </x:c>
      <x:c r="R76" s="13" t="n">
        <x:f t="shared" si="4">SUM(E76:P76)</x:f>
        <x:v>555</x:v>
      </x:c>
      <x:c r="S76" s="14" t="n">
        <x:f>IF(Q76&gt;0,R76/Q76,"")</x:f>
        <x:v>46.25</x:v>
      </x:c>
      <x:c r="T76" s="15">
        <x:v>9875959</x:v>
      </x:c>
      <x:c r="U76" s="15">
        <x:v>7541040</x:v>
      </x:c>
      <x:c r="V76" s="14">
        <x:v>148660874</x:v>
      </x:c>
      <x:c r="W76" s="14" t="n">
        <x:f>IF(AND(Q76&gt;0,S76&gt;0,V76&lt;&gt;""),V76/S76/Q76,"")</x:f>
        <x:v>267857.43063063064</x:v>
      </x:c>
      <x:c r="X76" s="3" t="s">
        <x:v>253</x:v>
      </x:c>
    </x:row>
    <x:row r="77">
      <x:c r="A77" s="12" t="s">
        <x:v>92</x:v>
      </x:c>
      <x:c r="B77" s="3" t="s">
        <x:v>93</x:v>
      </x:c>
      <x:c r="C77" s="4" t="s">
        <x:v>254</x:v>
      </x:c>
      <x:c r="D77" s="5">
        <x:v>306</x:v>
      </x:c>
      <x:c r="E77" s="13">
        <x:v>8</x:v>
      </x:c>
      <x:c r="F77" s="13">
        <x:v>8</x:v>
      </x:c>
      <x:c r="G77" s="13">
        <x:v>8</x:v>
      </x:c>
      <x:c r="H77" s="13">
        <x:v>8</x:v>
      </x:c>
      <x:c r="I77" s="13">
        <x:v>8</x:v>
      </x:c>
      <x:c r="J77" s="13">
        <x:v>8</x:v>
      </x:c>
      <x:c r="K77" s="13">
        <x:v>8</x:v>
      </x:c>
      <x:c r="L77" s="13">
        <x:v>8</x:v>
      </x:c>
      <x:c r="M77" s="13">
        <x:v>8</x:v>
      </x:c>
      <x:c r="N77" s="13">
        <x:v>8</x:v>
      </x:c>
      <x:c r="O77" s="13">
        <x:v>8</x:v>
      </x:c>
      <x:c r="P77" s="13">
        <x:v>8</x:v>
      </x:c>
      <x:c r="Q77" s="13" t="n">
        <x:f t="shared" si="3">COUNT(E77:P77)</x:f>
        <x:v>12</x:v>
      </x:c>
      <x:c r="R77" s="13" t="n">
        <x:f t="shared" si="4">SUM(E77:P77)</x:f>
        <x:v>96</x:v>
      </x:c>
      <x:c r="S77" s="14" t="n">
        <x:f>IF(Q77&gt;0,R77/Q77,"")</x:f>
        <x:v>8</x:v>
      </x:c>
      <x:c r="T77" s="15">
        <x:v>1836155</x:v>
      </x:c>
      <x:c r="U77" s="15">
        <x:v>1616391</x:v>
      </x:c>
      <x:c r="V77" s="14">
        <x:v>25422810</x:v>
      </x:c>
      <x:c r="W77" s="14" t="n">
        <x:f>IF(AND(Q77&gt;0,S77&gt;0,V77&lt;&gt;""),V77/S77/Q77,"")</x:f>
        <x:v>264820.9375</x:v>
      </x:c>
      <x:c r="X77" s="3" t="s">
        <x:v>255</x:v>
      </x:c>
    </x:row>
    <x:row r="78">
      <x:c r="A78" s="12" t="s">
        <x:v>158</x:v>
      </x:c>
      <x:c r="B78" s="3" t="s">
        <x:v>256</x:v>
      </x:c>
      <x:c r="C78" s="4" t="s">
        <x:v>257</x:v>
      </x:c>
      <x:c r="D78" s="5">
        <x:v>306</x:v>
      </x:c>
      <x:c r="E78" s="13">
        <x:v>7</x:v>
      </x:c>
      <x:c r="F78" s="13">
        <x:v>7</x:v>
      </x:c>
      <x:c r="G78" s="13">
        <x:v>7</x:v>
      </x:c>
      <x:c r="H78" s="13">
        <x:v>7</x:v>
      </x:c>
      <x:c r="I78" s="13">
        <x:v>7</x:v>
      </x:c>
      <x:c r="J78" s="13">
        <x:v>7</x:v>
      </x:c>
      <x:c r="K78" s="13">
        <x:v>6</x:v>
      </x:c>
      <x:c r="L78" s="13">
        <x:v>6</x:v>
      </x:c>
      <x:c r="M78" s="13">
        <x:v>7</x:v>
      </x:c>
      <x:c r="N78" s="13">
        <x:v>7</x:v>
      </x:c>
      <x:c r="O78" s="13">
        <x:v>6</x:v>
      </x:c>
      <x:c r="P78" s="13">
        <x:v>6</x:v>
      </x:c>
      <x:c r="Q78" s="13" t="n">
        <x:f t="shared" si="3">COUNT(E78:P78)</x:f>
        <x:v>12</x:v>
      </x:c>
      <x:c r="R78" s="13" t="n">
        <x:f t="shared" si="4">SUM(E78:P78)</x:f>
        <x:v>80</x:v>
      </x:c>
      <x:c r="S78" s="14" t="n">
        <x:f>IF(Q78&gt;0,R78/Q78,"")</x:f>
        <x:v>6.666666666666667</x:v>
      </x:c>
      <x:c r="T78" s="15">
        <x:v>1359812</x:v>
      </x:c>
      <x:c r="U78" s="15">
        <x:v>1033363</x:v>
      </x:c>
      <x:c r="V78" s="14">
        <x:v>21031042</x:v>
      </x:c>
      <x:c r="W78" s="14" t="n">
        <x:f>IF(AND(Q78&gt;0,S78&gt;0,V78&lt;&gt;""),V78/S78/Q78,"")</x:f>
        <x:v>262888.02499999997</x:v>
      </x:c>
      <x:c r="X78" s="3" t="s">
        <x:v>258</x:v>
      </x:c>
    </x:row>
    <x:row r="79">
      <x:c r="A79" s="12" t="s">
        <x:v>259</x:v>
      </x:c>
      <x:c r="B79" s="3" t="s">
        <x:v>260</x:v>
      </x:c>
      <x:c r="C79" s="4" t="s">
        <x:v>261</x:v>
      </x:c>
      <x:c r="D79" s="5">
        <x:v>306</x:v>
      </x:c>
      <x:c r="E79" s="13">
        <x:v>11</x:v>
      </x:c>
      <x:c r="F79" s="13">
        <x:v>10</x:v>
      </x:c>
      <x:c r="G79" s="13">
        <x:v>9</x:v>
      </x:c>
      <x:c r="H79" s="13">
        <x:v>10</x:v>
      </x:c>
      <x:c r="I79" s="13">
        <x:v>10</x:v>
      </x:c>
      <x:c r="J79" s="13">
        <x:v>11</x:v>
      </x:c>
      <x:c r="K79" s="13">
        <x:v>10</x:v>
      </x:c>
      <x:c r="L79" s="13">
        <x:v>11</x:v>
      </x:c>
      <x:c r="M79" s="13">
        <x:v>11</x:v>
      </x:c>
      <x:c r="N79" s="13">
        <x:v>11</x:v>
      </x:c>
      <x:c r="O79" s="13">
        <x:v>11</x:v>
      </x:c>
      <x:c r="P79" s="13">
        <x:v>12</x:v>
      </x:c>
      <x:c r="Q79" s="13" t="n">
        <x:f t="shared" si="3">COUNT(E79:P79)</x:f>
        <x:v>12</x:v>
      </x:c>
      <x:c r="R79" s="13" t="n">
        <x:f t="shared" si="4">SUM(E79:P79)</x:f>
        <x:v>127</x:v>
      </x:c>
      <x:c r="S79" s="14" t="n">
        <x:f>IF(Q79&gt;0,R79/Q79,"")</x:f>
        <x:v>10.583333333333334</x:v>
      </x:c>
      <x:c r="T79" s="15">
        <x:v>1973357</x:v>
      </x:c>
      <x:c r="U79" s="15">
        <x:v>1375080</x:v>
      </x:c>
      <x:c r="V79" s="14">
        <x:v>33147891</x:v>
      </x:c>
      <x:c r="W79" s="14" t="n">
        <x:f>IF(AND(Q79&gt;0,S79&gt;0,V79&lt;&gt;""),V79/S79/Q79,"")</x:f>
        <x:v>261007.01574803147</x:v>
      </x:c>
      <x:c r="X79" s="3" t="s">
        <x:v>262</x:v>
      </x:c>
    </x:row>
    <x:row r="80">
      <x:c r="A80" s="12" t="s">
        <x:v>259</x:v>
      </x:c>
      <x:c r="B80" s="3" t="s">
        <x:v>260</x:v>
      </x:c>
      <x:c r="C80" s="4" t="s">
        <x:v>263</x:v>
      </x:c>
      <x:c r="D80" s="5">
        <x:v>306</x:v>
      </x:c>
      <x:c r="E80" s="13">
        <x:v>15</x:v>
      </x:c>
      <x:c r="F80" s="13">
        <x:v>17</x:v>
      </x:c>
      <x:c r="G80" s="13">
        <x:v>15</x:v>
      </x:c>
      <x:c r="H80" s="13">
        <x:v>16</x:v>
      </x:c>
      <x:c r="I80" s="13">
        <x:v>15</x:v>
      </x:c>
      <x:c r="J80" s="13">
        <x:v>16</x:v>
      </x:c>
      <x:c r="K80" s="13">
        <x:v>16</x:v>
      </x:c>
      <x:c r="L80" s="13">
        <x:v>16</x:v>
      </x:c>
      <x:c r="M80" s="13">
        <x:v>16</x:v>
      </x:c>
      <x:c r="N80" s="13">
        <x:v>16</x:v>
      </x:c>
      <x:c r="O80" s="13">
        <x:v>16</x:v>
      </x:c>
      <x:c r="P80" s="13">
        <x:v>16</x:v>
      </x:c>
      <x:c r="Q80" s="13" t="n">
        <x:f t="shared" si="3">COUNT(E80:P80)</x:f>
        <x:v>12</x:v>
      </x:c>
      <x:c r="R80" s="13" t="n">
        <x:f t="shared" si="4">SUM(E80:P80)</x:f>
        <x:v>190</x:v>
      </x:c>
      <x:c r="S80" s="14" t="n">
        <x:f>IF(Q80&gt;0,R80/Q80,"")</x:f>
        <x:v>15.833333333333334</x:v>
      </x:c>
      <x:c r="T80" s="15">
        <x:v>3050120</x:v>
      </x:c>
      <x:c r="U80" s="15">
        <x:v>2673858</x:v>
      </x:c>
      <x:c r="V80" s="14">
        <x:v>49434518</x:v>
      </x:c>
      <x:c r="W80" s="14" t="n">
        <x:f>IF(AND(Q80&gt;0,S80&gt;0,V80&lt;&gt;""),V80/S80/Q80,"")</x:f>
        <x:v>260181.67368421052</x:v>
      </x:c>
      <x:c r="X80" s="3" t="s">
        <x:v>264</x:v>
      </x:c>
    </x:row>
    <x:row r="81">
      <x:c r="A81" s="12" t="s">
        <x:v>25</x:v>
      </x:c>
      <x:c r="B81" s="3" t="s">
        <x:v>26</x:v>
      </x:c>
      <x:c r="C81" s="4" t="s">
        <x:v>265</x:v>
      </x:c>
      <x:c r="D81" s="5">
        <x:v>306</x:v>
      </x:c>
      <x:c r="E81" s="13">
        <x:v>108</x:v>
      </x:c>
      <x:c r="F81" s="13">
        <x:v>108</x:v>
      </x:c>
      <x:c r="G81" s="13">
        <x:v>108</x:v>
      </x:c>
      <x:c r="H81" s="13">
        <x:v>56</x:v>
      </x:c>
      <x:c r="I81" s="13">
        <x:v>56</x:v>
      </x:c>
      <x:c r="J81" s="13">
        <x:v>56</x:v>
      </x:c>
      <x:c r="K81" s="13">
        <x:v>51</x:v>
      </x:c>
      <x:c r="L81" s="13">
        <x:v>51</x:v>
      </x:c>
      <x:c r="M81" s="13">
        <x:v>51</x:v>
      </x:c>
      <x:c r="N81" s="13">
        <x:v>55</x:v>
      </x:c>
      <x:c r="O81" s="13">
        <x:v>55</x:v>
      </x:c>
      <x:c r="P81" s="13">
        <x:v>55</x:v>
      </x:c>
      <x:c r="Q81" s="13" t="n">
        <x:f t="shared" si="3">COUNT(E81:P81)</x:f>
        <x:v>12</x:v>
      </x:c>
      <x:c r="R81" s="13" t="n">
        <x:f t="shared" si="4">SUM(E81:P81)</x:f>
        <x:v>810</x:v>
      </x:c>
      <x:c r="S81" s="14" t="n">
        <x:f>IF(Q81&gt;0,R81/Q81,"")</x:f>
        <x:v>67.5</x:v>
      </x:c>
      <x:c r="T81" s="15">
        <x:v>13444239</x:v>
      </x:c>
      <x:c r="U81" s="15">
        <x:v>10016258</x:v>
      </x:c>
      <x:c r="V81" s="14">
        <x:v>210489776</x:v>
      </x:c>
      <x:c r="W81" s="14" t="n">
        <x:f>IF(AND(Q81&gt;0,S81&gt;0,V81&lt;&gt;""),V81/S81/Q81,"")</x:f>
        <x:v>259863.92098765433</x:v>
      </x:c>
      <x:c r="X81" s="3" t="s">
        <x:v>266</x:v>
      </x:c>
    </x:row>
    <x:row r="82">
      <x:c r="A82" s="12" t="s">
        <x:v>25</x:v>
      </x:c>
      <x:c r="B82" s="3" t="s">
        <x:v>26</x:v>
      </x:c>
      <x:c r="C82" s="4" t="s">
        <x:v>267</x:v>
      </x:c>
      <x:c r="D82" s="5">
        <x:v>306</x:v>
      </x:c>
      <x:c r="E82" s="13">
        <x:v>20</x:v>
      </x:c>
      <x:c r="F82" s="13">
        <x:v>20</x:v>
      </x:c>
      <x:c r="G82" s="13">
        <x:v>20</x:v>
      </x:c>
      <x:c r="H82" s="13">
        <x:v>21</x:v>
      </x:c>
      <x:c r="I82" s="13">
        <x:v>21</x:v>
      </x:c>
      <x:c r="J82" s="13">
        <x:v>21</x:v>
      </x:c>
      <x:c r="K82" s="13">
        <x:v>19</x:v>
      </x:c>
      <x:c r="L82" s="13">
        <x:v>19</x:v>
      </x:c>
      <x:c r="M82" s="13">
        <x:v>19</x:v>
      </x:c>
      <x:c r="N82" s="13">
        <x:v>24</x:v>
      </x:c>
      <x:c r="O82" s="13">
        <x:v>24</x:v>
      </x:c>
      <x:c r="P82" s="13">
        <x:v>24</x:v>
      </x:c>
      <x:c r="Q82" s="13" t="n">
        <x:f t="shared" si="3">COUNT(E82:P82)</x:f>
        <x:v>12</x:v>
      </x:c>
      <x:c r="R82" s="13" t="n">
        <x:f t="shared" si="4">SUM(E82:P82)</x:f>
        <x:v>252</x:v>
      </x:c>
      <x:c r="S82" s="14" t="n">
        <x:f>IF(Q82&gt;0,R82/Q82,"")</x:f>
        <x:v>21</x:v>
      </x:c>
      <x:c r="T82" s="15">
        <x:v>4283250</x:v>
      </x:c>
      <x:c r="U82" s="15">
        <x:v>3346867</x:v>
      </x:c>
      <x:c r="V82" s="14">
        <x:v>64983085</x:v>
      </x:c>
      <x:c r="W82" s="14" t="n">
        <x:f>IF(AND(Q82&gt;0,S82&gt;0,V82&lt;&gt;""),V82/S82/Q82,"")</x:f>
        <x:v>257869.3849206349</x:v>
      </x:c>
      <x:c r="X82" s="3" t="s">
        <x:v>268</x:v>
      </x:c>
    </x:row>
    <x:row r="83">
      <x:c r="A83" s="12" t="s">
        <x:v>25</x:v>
      </x:c>
      <x:c r="B83" s="3" t="s">
        <x:v>26</x:v>
      </x:c>
      <x:c r="C83" s="4" t="s">
        <x:v>269</x:v>
      </x:c>
      <x:c r="D83" s="5">
        <x:v>306</x:v>
      </x:c>
      <x:c r="E83" s="13">
        <x:v>22</x:v>
      </x:c>
      <x:c r="F83" s="13">
        <x:v>22</x:v>
      </x:c>
      <x:c r="G83" s="13">
        <x:v>22</x:v>
      </x:c>
      <x:c r="H83" s="13">
        <x:v>20</x:v>
      </x:c>
      <x:c r="I83" s="13">
        <x:v>20</x:v>
      </x:c>
      <x:c r="J83" s="13">
        <x:v>20</x:v>
      </x:c>
      <x:c r="K83" s="13">
        <x:v>20</x:v>
      </x:c>
      <x:c r="L83" s="13">
        <x:v>20</x:v>
      </x:c>
      <x:c r="M83" s="13">
        <x:v>20</x:v>
      </x:c>
      <x:c r="N83" s="13">
        <x:v>18</x:v>
      </x:c>
      <x:c r="O83" s="13">
        <x:v>18</x:v>
      </x:c>
      <x:c r="P83" s="13">
        <x:v>18</x:v>
      </x:c>
      <x:c r="Q83" s="13" t="n">
        <x:f t="shared" si="3">COUNT(E83:P83)</x:f>
        <x:v>12</x:v>
      </x:c>
      <x:c r="R83" s="13" t="n">
        <x:f t="shared" si="4">SUM(E83:P83)</x:f>
        <x:v>240</x:v>
      </x:c>
      <x:c r="S83" s="14" t="n">
        <x:f>IF(Q83&gt;0,R83/Q83,"")</x:f>
        <x:v>20</x:v>
      </x:c>
      <x:c r="T83" s="15">
        <x:v>4061096</x:v>
      </x:c>
      <x:c r="U83" s="15">
        <x:v>2704189</x:v>
      </x:c>
      <x:c r="V83" s="14">
        <x:v>61872210</x:v>
      </x:c>
      <x:c r="W83" s="14" t="n">
        <x:f>IF(AND(Q83&gt;0,S83&gt;0,V83&lt;&gt;""),V83/S83/Q83,"")</x:f>
        <x:v>257800.875</x:v>
      </x:c>
      <x:c r="X83" s="3" t="s">
        <x:v>270</x:v>
      </x:c>
    </x:row>
    <x:row r="84">
      <x:c r="A84" s="12" t="s">
        <x:v>108</x:v>
      </x:c>
      <x:c r="B84" s="3" t="s">
        <x:v>271</x:v>
      </x:c>
      <x:c r="C84" s="4" t="s">
        <x:v>272</x:v>
      </x:c>
      <x:c r="D84" s="5">
        <x:v>306</x:v>
      </x:c>
      <x:c r="E84" s="13">
        <x:v>5</x:v>
      </x:c>
      <x:c r="F84" s="13">
        <x:v>5</x:v>
      </x:c>
      <x:c r="G84" s="13">
        <x:v>8</x:v>
      </x:c>
      <x:c r="H84" s="13">
        <x:v>4</x:v>
      </x:c>
      <x:c r="I84" s="13">
        <x:v>2</x:v>
      </x:c>
      <x:c r="J84" s="13">
        <x:v>2</x:v>
      </x:c>
      <x:c r="K84" s="13">
        <x:v>2</x:v>
      </x:c>
      <x:c r="L84" s="13">
        <x:v>2</x:v>
      </x:c>
      <x:c r="M84" s="13">
        <x:v>2</x:v>
      </x:c>
      <x:c r="N84" s="13">
        <x:v>2</x:v>
      </x:c>
      <x:c r="O84" s="13">
        <x:v>2</x:v>
      </x:c>
      <x:c r="P84" s="13">
        <x:v>2</x:v>
      </x:c>
      <x:c r="Q84" s="13" t="n">
        <x:f t="shared" si="3">COUNT(E84:P84)</x:f>
        <x:v>12</x:v>
      </x:c>
      <x:c r="R84" s="13" t="n">
        <x:f t="shared" si="4">SUM(E84:P84)</x:f>
        <x:v>38</x:v>
      </x:c>
      <x:c r="S84" s="14" t="n">
        <x:f>IF(Q84&gt;0,R84/Q84,"")</x:f>
        <x:v>3.1666666666666665</x:v>
      </x:c>
      <x:c r="T84" s="15">
        <x:v>768088</x:v>
      </x:c>
      <x:c r="U84" s="15">
        <x:v>616477</x:v>
      </x:c>
      <x:c r="V84" s="14">
        <x:v>9733271</x:v>
      </x:c>
      <x:c r="W84" s="14" t="n">
        <x:f>IF(AND(Q84&gt;0,S84&gt;0,V84&lt;&gt;""),V84/S84/Q84,"")</x:f>
        <x:v>256138.71052631582</x:v>
      </x:c>
      <x:c r="X84" s="3" t="s">
        <x:v>273</x:v>
      </x:c>
    </x:row>
    <x:row r="85">
      <x:c r="A85" s="12" t="s">
        <x:v>274</x:v>
      </x:c>
      <x:c r="B85" s="3" t="s">
        <x:v>275</x:v>
      </x:c>
      <x:c r="C85" s="4" t="s">
        <x:v>276</x:v>
      </x:c>
      <x:c r="D85" s="5">
        <x:v>306</x:v>
      </x:c>
      <x:c r="E85" s="13">
        <x:v>19</x:v>
      </x:c>
      <x:c r="F85" s="13">
        <x:v>22</x:v>
      </x:c>
      <x:c r="G85" s="13">
        <x:v>22</x:v>
      </x:c>
      <x:c r="H85" s="13">
        <x:v>21</x:v>
      </x:c>
      <x:c r="I85" s="13">
        <x:v>23</x:v>
      </x:c>
      <x:c r="J85" s="13">
        <x:v>23</x:v>
      </x:c>
      <x:c r="K85" s="13">
        <x:v>23</x:v>
      </x:c>
      <x:c r="L85" s="13">
        <x:v>24</x:v>
      </x:c>
      <x:c r="M85" s="13">
        <x:v>22</x:v>
      </x:c>
      <x:c r="N85" s="13">
        <x:v>23</x:v>
      </x:c>
      <x:c r="O85" s="13">
        <x:v>23</x:v>
      </x:c>
      <x:c r="P85" s="13">
        <x:v>23</x:v>
      </x:c>
      <x:c r="Q85" s="13" t="n">
        <x:f t="shared" si="3">COUNT(E85:P85)</x:f>
        <x:v>12</x:v>
      </x:c>
      <x:c r="R85" s="13" t="n">
        <x:f t="shared" si="4">SUM(E85:P85)</x:f>
        <x:v>268</x:v>
      </x:c>
      <x:c r="S85" s="14" t="n">
        <x:f>IF(Q85&gt;0,R85/Q85,"")</x:f>
        <x:v>22.333333333333332</x:v>
      </x:c>
      <x:c r="T85" s="15">
        <x:v>4832300</x:v>
      </x:c>
      <x:c r="U85" s="15">
        <x:v>3590306</x:v>
      </x:c>
      <x:c r="V85" s="14">
        <x:v>68230840</x:v>
      </x:c>
      <x:c r="W85" s="14" t="n">
        <x:f>IF(AND(Q85&gt;0,S85&gt;0,V85&lt;&gt;""),V85/S85/Q85,"")</x:f>
        <x:v>254592.68656716417</x:v>
      </x:c>
      <x:c r="X85" s="3" t="s">
        <x:v>277</x:v>
      </x:c>
    </x:row>
    <x:row r="86">
      <x:c r="A86" s="12" t="s">
        <x:v>198</x:v>
      </x:c>
      <x:c r="B86" s="3" t="s">
        <x:v>217</x:v>
      </x:c>
      <x:c r="C86" s="4" t="s">
        <x:v>278</x:v>
      </x:c>
      <x:c r="D86" s="5">
        <x:v>306</x:v>
      </x:c>
      <x:c r="E86" s="13">
        <x:v>31</x:v>
      </x:c>
      <x:c r="F86" s="13">
        <x:v>41</x:v>
      </x:c>
      <x:c r="G86" s="13">
        <x:v>33</x:v>
      </x:c>
      <x:c r="H86" s="13">
        <x:v>31</x:v>
      </x:c>
      <x:c r="I86" s="13">
        <x:v>45</x:v>
      </x:c>
      <x:c r="J86" s="13">
        <x:v>31</x:v>
      </x:c>
      <x:c r="K86" s="13">
        <x:v>31</x:v>
      </x:c>
      <x:c r="L86" s="13">
        <x:v>58</x:v>
      </x:c>
      <x:c r="M86" s="13">
        <x:v>58</x:v>
      </x:c>
      <x:c r="N86" s="13">
        <x:v>231</x:v>
      </x:c>
      <x:c r="O86" s="13">
        <x:v>74</x:v>
      </x:c>
      <x:c r="P86" s="13">
        <x:v>103</x:v>
      </x:c>
      <x:c r="Q86" s="13" t="n">
        <x:f t="shared" si="3">COUNT(E86:P86)</x:f>
        <x:v>12</x:v>
      </x:c>
      <x:c r="R86" s="13" t="n">
        <x:f t="shared" si="4">SUM(E86:P86)</x:f>
        <x:v>767</x:v>
      </x:c>
      <x:c r="S86" s="14" t="n">
        <x:f>IF(Q86&gt;0,R86/Q86,"")</x:f>
        <x:v>63.916666666666664</x:v>
      </x:c>
      <x:c r="T86" s="15">
        <x:v>11811603</x:v>
      </x:c>
      <x:c r="U86" s="15">
        <x:v>9253880</x:v>
      </x:c>
      <x:c r="V86" s="14">
        <x:v>194076477</x:v>
      </x:c>
      <x:c r="W86" s="14" t="n">
        <x:f>IF(AND(Q86&gt;0,S86&gt;0,V86&lt;&gt;""),V86/S86/Q86,"")</x:f>
        <x:v>253033.21642764017</x:v>
      </x:c>
      <x:c r="X86" s="3" t="s">
        <x:v>279</x:v>
      </x:c>
    </x:row>
    <x:row r="87">
      <x:c r="A87" s="12" t="s">
        <x:v>25</x:v>
      </x:c>
      <x:c r="B87" s="3" t="s">
        <x:v>26</x:v>
      </x:c>
      <x:c r="C87" s="4" t="s">
        <x:v>280</x:v>
      </x:c>
      <x:c r="D87" s="5">
        <x:v>306</x:v>
      </x:c>
      <x:c r="E87" s="13">
        <x:v>24</x:v>
      </x:c>
      <x:c r="F87" s="13">
        <x:v>24</x:v>
      </x:c>
      <x:c r="G87" s="13">
        <x:v>24</x:v>
      </x:c>
      <x:c r="H87" s="13">
        <x:v>25</x:v>
      </x:c>
      <x:c r="I87" s="13">
        <x:v>25</x:v>
      </x:c>
      <x:c r="J87" s="13">
        <x:v>25</x:v>
      </x:c>
      <x:c r="K87" s="13">
        <x:v>24</x:v>
      </x:c>
      <x:c r="L87" s="13">
        <x:v>24</x:v>
      </x:c>
      <x:c r="M87" s="13">
        <x:v>24</x:v>
      </x:c>
      <x:c r="N87" s="13">
        <x:v>29</x:v>
      </x:c>
      <x:c r="O87" s="13">
        <x:v>29</x:v>
      </x:c>
      <x:c r="P87" s="13">
        <x:v>29</x:v>
      </x:c>
      <x:c r="Q87" s="13" t="n">
        <x:f t="shared" si="3">COUNT(E87:P87)</x:f>
        <x:v>12</x:v>
      </x:c>
      <x:c r="R87" s="13" t="n">
        <x:f t="shared" si="4">SUM(E87:P87)</x:f>
        <x:v>306</x:v>
      </x:c>
      <x:c r="S87" s="14" t="n">
        <x:f>IF(Q87&gt;0,R87/Q87,"")</x:f>
        <x:v>25.5</x:v>
      </x:c>
      <x:c r="T87" s="15">
        <x:v>486177</x:v>
      </x:c>
      <x:c r="U87" s="15">
        <x:v>495506</x:v>
      </x:c>
      <x:c r="V87" s="14">
        <x:v>76855179</x:v>
      </x:c>
      <x:c r="W87" s="14" t="n">
        <x:f>IF(AND(Q87&gt;0,S87&gt;0,V87&lt;&gt;""),V87/S87/Q87,"")</x:f>
        <x:v>251160.7156862745</x:v>
      </x:c>
      <x:c r="X87" s="3" t="s">
        <x:v>281</x:v>
      </x:c>
    </x:row>
    <x:row r="88">
      <x:c r="A88" s="12" t="s">
        <x:v>71</x:v>
      </x:c>
      <x:c r="B88" s="3" t="s">
        <x:v>72</x:v>
      </x:c>
      <x:c r="C88" s="4" t="s">
        <x:v>282</x:v>
      </x:c>
      <x:c r="D88" s="5">
        <x:v>306</x:v>
      </x:c>
      <x:c r="E88" s="13">
        <x:v>178</x:v>
      </x:c>
      <x:c r="F88" s="13">
        <x:v>192</x:v>
      </x:c>
      <x:c r="G88" s="13">
        <x:v>200</x:v>
      </x:c>
      <x:c r="H88" s="13">
        <x:v>206</x:v>
      </x:c>
      <x:c r="I88" s="13">
        <x:v>210</x:v>
      </x:c>
      <x:c r="J88" s="13">
        <x:v>205</x:v>
      </x:c>
      <x:c r="K88" s="13">
        <x:v>211</x:v>
      </x:c>
      <x:c r="L88" s="13">
        <x:v>207</x:v>
      </x:c>
      <x:c r="M88" s="13">
        <x:v>207</x:v>
      </x:c>
      <x:c r="N88" s="13">
        <x:v>210</x:v>
      </x:c>
      <x:c r="O88" s="13">
        <x:v>206</x:v>
      </x:c>
      <x:c r="P88" s="13">
        <x:v>173</x:v>
      </x:c>
      <x:c r="Q88" s="13" t="n">
        <x:f t="shared" si="3">COUNT(E88:P88)</x:f>
        <x:v>12</x:v>
      </x:c>
      <x:c r="R88" s="13" t="n">
        <x:f t="shared" si="4">SUM(E88:P88)</x:f>
        <x:v>2405</x:v>
      </x:c>
      <x:c r="S88" s="14" t="n">
        <x:f>IF(Q88&gt;0,R88/Q88,"")</x:f>
        <x:v>200.41666666666666</x:v>
      </x:c>
      <x:c r="T88" s="15">
        <x:v>39953947</x:v>
      </x:c>
      <x:c r="U88" s="15">
        <x:v>32131758</x:v>
      </x:c>
      <x:c r="V88" s="14">
        <x:v>602975107</x:v>
      </x:c>
      <x:c r="W88" s="14" t="n">
        <x:f>IF(AND(Q88&gt;0,S88&gt;0,V88&lt;&gt;""),V88/S88/Q88,"")</x:f>
        <x:v>250717.30020790023</x:v>
      </x:c>
      <x:c r="X88" s="3" t="s">
        <x:v>283</x:v>
      </x:c>
    </x:row>
    <x:row r="89">
      <x:c r="A89" s="12" t="s">
        <x:v>63</x:v>
      </x:c>
      <x:c r="B89" s="3" t="s">
        <x:v>64</x:v>
      </x:c>
      <x:c r="C89" s="4" t="s">
        <x:v>284</x:v>
      </x:c>
      <x:c r="D89" s="5">
        <x:v>306</x:v>
      </x:c>
      <x:c r="E89" s="13">
        <x:v>2</x:v>
      </x:c>
      <x:c r="F89" s="13">
        <x:v>2</x:v>
      </x:c>
      <x:c r="G89" s="13">
        <x:v>3</x:v>
      </x:c>
      <x:c r="H89" s="13">
        <x:v>4</x:v>
      </x:c>
      <x:c r="I89" s="13">
        <x:v>7</x:v>
      </x:c>
      <x:c r="J89" s="13">
        <x:v>5</x:v>
      </x:c>
      <x:c r="K89" s="13">
        <x:v>5</x:v>
      </x:c>
      <x:c r="L89" s="13">
        <x:v>5</x:v>
      </x:c>
      <x:c r="M89" s="13">
        <x:v>5</x:v>
      </x:c>
      <x:c r="N89" s="13">
        <x:v>5</x:v>
      </x:c>
      <x:c r="O89" s="13">
        <x:v>5</x:v>
      </x:c>
      <x:c r="P89" s="13">
        <x:v>4</x:v>
      </x:c>
      <x:c r="Q89" s="13" t="n">
        <x:f t="shared" si="3">COUNT(E89:P89)</x:f>
        <x:v>12</x:v>
      </x:c>
      <x:c r="R89" s="13" t="n">
        <x:f t="shared" si="4">SUM(E89:P89)</x:f>
        <x:v>52</x:v>
      </x:c>
      <x:c r="S89" s="14" t="n">
        <x:f>IF(Q89&gt;0,R89/Q89,"")</x:f>
        <x:v>4.333333333333333</x:v>
      </x:c>
      <x:c r="T89" s="15">
        <x:v>879356</x:v>
      </x:c>
      <x:c r="U89" s="15">
        <x:v>678820</x:v>
      </x:c>
      <x:c r="V89" s="14">
        <x:v>13008399</x:v>
      </x:c>
      <x:c r="W89" s="14" t="n">
        <x:f>IF(AND(Q89&gt;0,S89&gt;0,V89&lt;&gt;""),V89/S89/Q89,"")</x:f>
        <x:v>250161.51923076925</x:v>
      </x:c>
      <x:c r="X89" s="3" t="s">
        <x:v>285</x:v>
      </x:c>
    </x:row>
    <x:row r="90">
      <x:c r="A90" s="12" t="s">
        <x:v>71</x:v>
      </x:c>
      <x:c r="B90" s="3" t="s">
        <x:v>72</x:v>
      </x:c>
      <x:c r="C90" s="4" t="s">
        <x:v>286</x:v>
      </x:c>
      <x:c r="D90" s="5">
        <x:v>306</x:v>
      </x:c>
      <x:c r="E90" s="13">
        <x:v>54</x:v>
      </x:c>
      <x:c r="F90" s="13">
        <x:v>56</x:v>
      </x:c>
      <x:c r="G90" s="13">
        <x:v>55</x:v>
      </x:c>
      <x:c r="H90" s="13">
        <x:v>55</x:v>
      </x:c>
      <x:c r="I90" s="13">
        <x:v>52</x:v>
      </x:c>
      <x:c r="J90" s="13">
        <x:v>50</x:v>
      </x:c>
      <x:c r="K90" s="13">
        <x:v>50</x:v>
      </x:c>
      <x:c r="L90" s="13">
        <x:v>51</x:v>
      </x:c>
      <x:c r="M90" s="13">
        <x:v>54</x:v>
      </x:c>
      <x:c r="N90" s="13">
        <x:v>56</x:v>
      </x:c>
      <x:c r="O90" s="13">
        <x:v>48</x:v>
      </x:c>
      <x:c r="P90" s="13">
        <x:v>47</x:v>
      </x:c>
      <x:c r="Q90" s="13" t="n">
        <x:f t="shared" si="3">COUNT(E90:P90)</x:f>
        <x:v>12</x:v>
      </x:c>
      <x:c r="R90" s="13" t="n">
        <x:f t="shared" si="4">SUM(E90:P90)</x:f>
        <x:v>628</x:v>
      </x:c>
      <x:c r="S90" s="14" t="n">
        <x:f>IF(Q90&gt;0,R90/Q90,"")</x:f>
        <x:v>52.333333333333336</x:v>
      </x:c>
      <x:c r="T90" s="15">
        <x:v>10242564</x:v>
      </x:c>
      <x:c r="U90" s="15">
        <x:v>8788230</x:v>
      </x:c>
      <x:c r="V90" s="14">
        <x:v>156926158</x:v>
      </x:c>
      <x:c r="W90" s="14" t="n">
        <x:f>IF(AND(Q90&gt;0,S90&gt;0,V90&lt;&gt;""),V90/S90/Q90,"")</x:f>
        <x:v>249882.41719745225</x:v>
      </x:c>
      <x:c r="X90" s="3" t="s">
        <x:v>287</x:v>
      </x:c>
    </x:row>
    <x:row r="91">
      <x:c r="A91" s="12" t="s">
        <x:v>288</x:v>
      </x:c>
      <x:c r="B91" s="3" t="s">
        <x:v>289</x:v>
      </x:c>
      <x:c r="C91" s="4" t="s">
        <x:v>290</x:v>
      </x:c>
      <x:c r="D91" s="5">
        <x:v>306</x:v>
      </x:c>
      <x:c r="E91" s="13">
        <x:v>29</x:v>
      </x:c>
      <x:c r="F91" s="13">
        <x:v>32</x:v>
      </x:c>
      <x:c r="G91" s="13">
        <x:v>32</x:v>
      </x:c>
      <x:c r="H91" s="13">
        <x:v>35</x:v>
      </x:c>
      <x:c r="I91" s="13">
        <x:v>30</x:v>
      </x:c>
      <x:c r="J91" s="13">
        <x:v>34</x:v>
      </x:c>
      <x:c r="K91" s="13">
        <x:v>37</x:v>
      </x:c>
      <x:c r="L91" s="13">
        <x:v>35</x:v>
      </x:c>
      <x:c r="M91" s="13">
        <x:v>33</x:v>
      </x:c>
      <x:c r="N91" s="13">
        <x:v>29</x:v>
      </x:c>
      <x:c r="O91" s="13">
        <x:v>27</x:v>
      </x:c>
      <x:c r="P91" s="13">
        <x:v>30</x:v>
      </x:c>
      <x:c r="Q91" s="13" t="n">
        <x:f t="shared" si="3">COUNT(E91:P91)</x:f>
        <x:v>12</x:v>
      </x:c>
      <x:c r="R91" s="13" t="n">
        <x:f t="shared" si="4">SUM(E91:P91)</x:f>
        <x:v>383</x:v>
      </x:c>
      <x:c r="S91" s="14" t="n">
        <x:f>IF(Q91&gt;0,R91/Q91,"")</x:f>
        <x:v>31.916666666666668</x:v>
      </x:c>
      <x:c r="T91" s="15">
        <x:v>6539635</x:v>
      </x:c>
      <x:c r="U91" s="15"/>
      <x:c r="V91" s="14">
        <x:v>95556521</x:v>
      </x:c>
      <x:c r="W91" s="14" t="n">
        <x:f>IF(AND(Q91&gt;0,S91&gt;0,V91&lt;&gt;""),V91/S91/Q91,"")</x:f>
        <x:v>249494.83289817232</x:v>
      </x:c>
      <x:c r="X91" s="3" t="s">
        <x:v>291</x:v>
      </x:c>
    </x:row>
    <x:row r="92">
      <x:c r="A92" s="12" t="s">
        <x:v>259</x:v>
      </x:c>
      <x:c r="B92" s="3" t="s">
        <x:v>260</x:v>
      </x:c>
      <x:c r="C92" s="4" t="s">
        <x:v>292</x:v>
      </x:c>
      <x:c r="D92" s="5">
        <x:v>306</x:v>
      </x:c>
      <x:c r="E92" s="13">
        <x:v>22</x:v>
      </x:c>
      <x:c r="F92" s="13">
        <x:v>25</x:v>
      </x:c>
      <x:c r="G92" s="13">
        <x:v>22</x:v>
      </x:c>
      <x:c r="H92" s="13">
        <x:v>22</x:v>
      </x:c>
      <x:c r="I92" s="13">
        <x:v>22</x:v>
      </x:c>
      <x:c r="J92" s="13">
        <x:v>22</x:v>
      </x:c>
      <x:c r="K92" s="13">
        <x:v>23</x:v>
      </x:c>
      <x:c r="L92" s="13">
        <x:v>21</x:v>
      </x:c>
      <x:c r="M92" s="13">
        <x:v>22</x:v>
      </x:c>
      <x:c r="N92" s="13">
        <x:v>22</x:v>
      </x:c>
      <x:c r="O92" s="13">
        <x:v>22</x:v>
      </x:c>
      <x:c r="P92" s="13">
        <x:v>21</x:v>
      </x:c>
      <x:c r="Q92" s="13" t="n">
        <x:f t="shared" si="3">COUNT(E92:P92)</x:f>
        <x:v>12</x:v>
      </x:c>
      <x:c r="R92" s="13" t="n">
        <x:f t="shared" si="4">SUM(E92:P92)</x:f>
        <x:v>266</x:v>
      </x:c>
      <x:c r="S92" s="14" t="n">
        <x:f>IF(Q92&gt;0,R92/Q92,"")</x:f>
        <x:v>22.166666666666668</x:v>
      </x:c>
      <x:c r="T92" s="15">
        <x:v>4187490</x:v>
      </x:c>
      <x:c r="U92" s="15">
        <x:v>2942158</x:v>
      </x:c>
      <x:c r="V92" s="14">
        <x:v>65142278</x:v>
      </x:c>
      <x:c r="W92" s="14" t="n">
        <x:f>IF(AND(Q92&gt;0,S92&gt;0,V92&lt;&gt;""),V92/S92/Q92,"")</x:f>
        <x:v>244895.7819548872</x:v>
      </x:c>
      <x:c r="X92" s="3" t="s">
        <x:v>293</x:v>
      </x:c>
    </x:row>
    <x:row r="93">
      <x:c r="A93" s="12" t="s">
        <x:v>51</x:v>
      </x:c>
      <x:c r="B93" s="3" t="s">
        <x:v>52</x:v>
      </x:c>
      <x:c r="C93" s="4" t="s">
        <x:v>294</x:v>
      </x:c>
      <x:c r="D93" s="5">
        <x:v>306</x:v>
      </x:c>
      <x:c r="E93" s="13">
        <x:v>3</x:v>
      </x:c>
      <x:c r="F93" s="13">
        <x:v>3</x:v>
      </x:c>
      <x:c r="G93" s="13">
        <x:v>3</x:v>
      </x:c>
      <x:c r="H93" s="13">
        <x:v>3</x:v>
      </x:c>
      <x:c r="I93" s="13">
        <x:v>4</x:v>
      </x:c>
      <x:c r="J93" s="13">
        <x:v>4</x:v>
      </x:c>
      <x:c r="K93" s="13">
        <x:v>4</x:v>
      </x:c>
      <x:c r="L93" s="13">
        <x:v>6</x:v>
      </x:c>
      <x:c r="M93" s="13">
        <x:v>4</x:v>
      </x:c>
      <x:c r="N93" s="13">
        <x:v>4</x:v>
      </x:c>
      <x:c r="O93" s="13">
        <x:v>4</x:v>
      </x:c>
      <x:c r="P93" s="13">
        <x:v>4</x:v>
      </x:c>
      <x:c r="Q93" s="13" t="n">
        <x:f t="shared" si="3">COUNT(E93:P93)</x:f>
        <x:v>12</x:v>
      </x:c>
      <x:c r="R93" s="13" t="n">
        <x:f t="shared" si="4">SUM(E93:P93)</x:f>
        <x:v>46</x:v>
      </x:c>
      <x:c r="S93" s="14" t="n">
        <x:f>IF(Q93&gt;0,R93/Q93,"")</x:f>
        <x:v>3.8333333333333335</x:v>
      </x:c>
      <x:c r="T93" s="15">
        <x:v>792410</x:v>
      </x:c>
      <x:c r="U93" s="15">
        <x:v>0</x:v>
      </x:c>
      <x:c r="V93" s="14">
        <x:v>11253000</x:v>
      </x:c>
      <x:c r="W93" s="14" t="n">
        <x:f>IF(AND(Q93&gt;0,S93&gt;0,V93&lt;&gt;""),V93/S93/Q93,"")</x:f>
        <x:v>244630.43478260867</x:v>
      </x:c>
      <x:c r="X93" s="3" t="s">
        <x:v>295</x:v>
      </x:c>
    </x:row>
    <x:row r="94">
      <x:c r="A94" s="12" t="s">
        <x:v>296</x:v>
      </x:c>
      <x:c r="B94" s="3" t="s">
        <x:v>297</x:v>
      </x:c>
      <x:c r="C94" s="4" t="s">
        <x:v>298</x:v>
      </x:c>
      <x:c r="D94" s="5">
        <x:v>306</x:v>
      </x:c>
      <x:c r="E94" s="13">
        <x:v>13</x:v>
      </x:c>
      <x:c r="F94" s="13">
        <x:v>12</x:v>
      </x:c>
      <x:c r="G94" s="13">
        <x:v>11</x:v>
      </x:c>
      <x:c r="H94" s="13">
        <x:v>11</x:v>
      </x:c>
      <x:c r="I94" s="13">
        <x:v>11</x:v>
      </x:c>
      <x:c r="J94" s="13">
        <x:v>11</x:v>
      </x:c>
      <x:c r="K94" s="13">
        <x:v>11</x:v>
      </x:c>
      <x:c r="L94" s="13">
        <x:v>10</x:v>
      </x:c>
      <x:c r="M94" s="13">
        <x:v>15</x:v>
      </x:c>
      <x:c r="N94" s="13"/>
      <x:c r="O94" s="13"/>
      <x:c r="P94" s="13"/>
      <x:c r="Q94" s="13" t="n">
        <x:f t="shared" si="3">COUNT(E94:P94)</x:f>
        <x:v>9</x:v>
      </x:c>
      <x:c r="R94" s="13" t="n">
        <x:f t="shared" si="4">SUM(E94:P94)</x:f>
        <x:v>105</x:v>
      </x:c>
      <x:c r="S94" s="14" t="n">
        <x:f>IF(Q94&gt;0,R94/Q94,"")</x:f>
        <x:v>11.666666666666666</x:v>
      </x:c>
      <x:c r="T94" s="15">
        <x:v>1825403</x:v>
      </x:c>
      <x:c r="U94" s="15">
        <x:v>1426101</x:v>
      </x:c>
      <x:c r="V94" s="14">
        <x:v>25590214</x:v>
      </x:c>
      <x:c r="W94" s="14" t="n">
        <x:f>IF(AND(Q94&gt;0,S94&gt;0,V94&lt;&gt;""),V94/S94/Q94,"")</x:f>
        <x:v>243716.3238095238</x:v>
      </x:c>
      <x:c r="X94" s="3" t="s">
        <x:v>299</x:v>
      </x:c>
    </x:row>
    <x:row r="95">
      <x:c r="A95" s="12" t="s">
        <x:v>300</x:v>
      </x:c>
      <x:c r="B95" s="3" t="s">
        <x:v>301</x:v>
      </x:c>
      <x:c r="C95" s="4" t="s">
        <x:v>302</x:v>
      </x:c>
      <x:c r="D95" s="5">
        <x:v>306</x:v>
      </x:c>
      <x:c r="E95" s="13">
        <x:v>427</x:v>
      </x:c>
      <x:c r="F95" s="13">
        <x:v>415</x:v>
      </x:c>
      <x:c r="G95" s="13">
        <x:v>418</x:v>
      </x:c>
      <x:c r="H95" s="13">
        <x:v>458</x:v>
      </x:c>
      <x:c r="I95" s="13">
        <x:v>454</x:v>
      </x:c>
      <x:c r="J95" s="13">
        <x:v>449</x:v>
      </x:c>
      <x:c r="K95" s="13">
        <x:v>468</x:v>
      </x:c>
      <x:c r="L95" s="13">
        <x:v>453</x:v>
      </x:c>
      <x:c r="M95" s="13">
        <x:v>434</x:v>
      </x:c>
      <x:c r="N95" s="13">
        <x:v>429</x:v>
      </x:c>
      <x:c r="O95" s="13">
        <x:v>444</x:v>
      </x:c>
      <x:c r="P95" s="13">
        <x:v>457</x:v>
      </x:c>
      <x:c r="Q95" s="13" t="n">
        <x:f t="shared" si="3">COUNT(E95:P95)</x:f>
        <x:v>12</x:v>
      </x:c>
      <x:c r="R95" s="13" t="n">
        <x:f t="shared" si="4">SUM(E95:P95)</x:f>
        <x:v>5306</x:v>
      </x:c>
      <x:c r="S95" s="14" t="n">
        <x:f>IF(Q95&gt;0,R95/Q95,"")</x:f>
        <x:v>442.1666666666667</x:v>
      </x:c>
      <x:c r="T95" s="15">
        <x:v>85505738</x:v>
      </x:c>
      <x:c r="U95" s="15">
        <x:v>4076329</x:v>
      </x:c>
      <x:c r="V95" s="14">
        <x:v>1282166372</x:v>
      </x:c>
      <x:c r="W95" s="14" t="n">
        <x:f>IF(AND(Q95&gt;0,S95&gt;0,V95&lt;&gt;""),V95/S95/Q95,"")</x:f>
        <x:v>241644.6234451564</x:v>
      </x:c>
      <x:c r="X95" s="3" t="s">
        <x:v>303</x:v>
      </x:c>
    </x:row>
    <x:row r="96">
      <x:c r="A96" s="12" t="s">
        <x:v>51</x:v>
      </x:c>
      <x:c r="B96" s="3" t="s">
        <x:v>52</x:v>
      </x:c>
      <x:c r="C96" s="4" t="s">
        <x:v>304</x:v>
      </x:c>
      <x:c r="D96" s="5">
        <x:v>306</x:v>
      </x:c>
      <x:c r="E96" s="13">
        <x:v>5</x:v>
      </x:c>
      <x:c r="F96" s="13">
        <x:v>5</x:v>
      </x:c>
      <x:c r="G96" s="13">
        <x:v>5</x:v>
      </x:c>
      <x:c r="H96" s="13">
        <x:v>10</x:v>
      </x:c>
      <x:c r="I96" s="13">
        <x:v>10</x:v>
      </x:c>
      <x:c r="J96" s="13">
        <x:v>10</x:v>
      </x:c>
      <x:c r="K96" s="13">
        <x:v>11</x:v>
      </x:c>
      <x:c r="L96" s="13">
        <x:v>11</x:v>
      </x:c>
      <x:c r="M96" s="13">
        <x:v>11</x:v>
      </x:c>
      <x:c r="N96" s="13">
        <x:v>7</x:v>
      </x:c>
      <x:c r="O96" s="13">
        <x:v>7</x:v>
      </x:c>
      <x:c r="P96" s="13">
        <x:v>7</x:v>
      </x:c>
      <x:c r="Q96" s="13" t="n">
        <x:f t="shared" si="3">COUNT(E96:P96)</x:f>
        <x:v>12</x:v>
      </x:c>
      <x:c r="R96" s="13" t="n">
        <x:f t="shared" si="4">SUM(E96:P96)</x:f>
        <x:v>99</x:v>
      </x:c>
      <x:c r="S96" s="14" t="n">
        <x:f>IF(Q96&gt;0,R96/Q96,"")</x:f>
        <x:v>8.25</x:v>
      </x:c>
      <x:c r="T96" s="15">
        <x:v>1578885</x:v>
      </x:c>
      <x:c r="U96" s="15">
        <x:v>0</x:v>
      </x:c>
      <x:c r="V96" s="14">
        <x:v>23760000</x:v>
      </x:c>
      <x:c r="W96" s="14" t="n">
        <x:f>IF(AND(Q96&gt;0,S96&gt;0,V96&lt;&gt;""),V96/S96/Q96,"")</x:f>
        <x:v>240000</x:v>
      </x:c>
      <x:c r="X96" s="3" t="s">
        <x:v>305</x:v>
      </x:c>
    </x:row>
    <x:row r="97">
      <x:c r="A97" s="12" t="s">
        <x:v>236</x:v>
      </x:c>
      <x:c r="B97" s="3" t="s">
        <x:v>237</x:v>
      </x:c>
      <x:c r="C97" s="4" t="s">
        <x:v>306</x:v>
      </x:c>
      <x:c r="D97" s="5">
        <x:v>306</x:v>
      </x:c>
      <x:c r="E97" s="13">
        <x:v>30</x:v>
      </x:c>
      <x:c r="F97" s="13">
        <x:v>29</x:v>
      </x:c>
      <x:c r="G97" s="13">
        <x:v>29</x:v>
      </x:c>
      <x:c r="H97" s="13">
        <x:v>29</x:v>
      </x:c>
      <x:c r="I97" s="13">
        <x:v>26</x:v>
      </x:c>
      <x:c r="J97" s="13">
        <x:v>28</x:v>
      </x:c>
      <x:c r="K97" s="13">
        <x:v>23</x:v>
      </x:c>
      <x:c r="L97" s="13">
        <x:v>25</x:v>
      </x:c>
      <x:c r="M97" s="13">
        <x:v>24</x:v>
      </x:c>
      <x:c r="N97" s="13">
        <x:v>24</x:v>
      </x:c>
      <x:c r="O97" s="13">
        <x:v>25</x:v>
      </x:c>
      <x:c r="P97" s="13">
        <x:v>25</x:v>
      </x:c>
      <x:c r="Q97" s="13" t="n">
        <x:f t="shared" si="3">COUNT(E97:P97)</x:f>
        <x:v>12</x:v>
      </x:c>
      <x:c r="R97" s="13" t="n">
        <x:f t="shared" si="4">SUM(E97:P97)</x:f>
        <x:v>317</x:v>
      </x:c>
      <x:c r="S97" s="14" t="n">
        <x:f>IF(Q97&gt;0,R97/Q97,"")</x:f>
        <x:v>26.416666666666668</x:v>
      </x:c>
      <x:c r="T97" s="15">
        <x:v>4698325</x:v>
      </x:c>
      <x:c r="U97" s="15">
        <x:v>2932884</x:v>
      </x:c>
      <x:c r="V97" s="14">
        <x:v>75828361</x:v>
      </x:c>
      <x:c r="W97" s="14" t="n">
        <x:f>IF(AND(Q97&gt;0,S97&gt;0,V97&lt;&gt;""),V97/S97/Q97,"")</x:f>
        <x:v>239206.1861198738</x:v>
      </x:c>
      <x:c r="X97" s="3" t="s">
        <x:v>307</x:v>
      </x:c>
    </x:row>
    <x:row r="98">
      <x:c r="A98" s="12" t="s">
        <x:v>259</x:v>
      </x:c>
      <x:c r="B98" s="3" t="s">
        <x:v>260</x:v>
      </x:c>
      <x:c r="C98" s="4" t="s">
        <x:v>308</x:v>
      </x:c>
      <x:c r="D98" s="5">
        <x:v>306</x:v>
      </x:c>
      <x:c r="E98" s="13">
        <x:v>11</x:v>
      </x:c>
      <x:c r="F98" s="13">
        <x:v>12</x:v>
      </x:c>
      <x:c r="G98" s="13">
        <x:v>11</x:v>
      </x:c>
      <x:c r="H98" s="13">
        <x:v>11</x:v>
      </x:c>
      <x:c r="I98" s="13">
        <x:v>11</x:v>
      </x:c>
      <x:c r="J98" s="13">
        <x:v>10</x:v>
      </x:c>
      <x:c r="K98" s="13">
        <x:v>10</x:v>
      </x:c>
      <x:c r="L98" s="13">
        <x:v>10</x:v>
      </x:c>
      <x:c r="M98" s="13">
        <x:v>10</x:v>
      </x:c>
      <x:c r="N98" s="13">
        <x:v>11</x:v>
      </x:c>
      <x:c r="O98" s="13">
        <x:v>10</x:v>
      </x:c>
      <x:c r="P98" s="13">
        <x:v>11</x:v>
      </x:c>
      <x:c r="Q98" s="13" t="n">
        <x:f t="shared" si="3">COUNT(E98:P98)</x:f>
        <x:v>12</x:v>
      </x:c>
      <x:c r="R98" s="13" t="n">
        <x:f t="shared" si="4">SUM(E98:P98)</x:f>
        <x:v>128</x:v>
      </x:c>
      <x:c r="S98" s="14" t="n">
        <x:f>IF(Q98&gt;0,R98/Q98,"")</x:f>
        <x:v>10.666666666666666</x:v>
      </x:c>
      <x:c r="T98" s="15">
        <x:v>1744722</x:v>
      </x:c>
      <x:c r="U98" s="15">
        <x:v>1425887</x:v>
      </x:c>
      <x:c r="V98" s="14">
        <x:v>30545846</x:v>
      </x:c>
      <x:c r="W98" s="14" t="n">
        <x:f>IF(AND(Q98&gt;0,S98&gt;0,V98&lt;&gt;""),V98/S98/Q98,"")</x:f>
        <x:v>238639.421875</x:v>
      </x:c>
      <x:c r="X98" s="3" t="s">
        <x:v>309</x:v>
      </x:c>
    </x:row>
    <x:row r="99">
      <x:c r="A99" s="12" t="s">
        <x:v>19</x:v>
      </x:c>
      <x:c r="B99" s="3" t="s">
        <x:v>85</x:v>
      </x:c>
      <x:c r="C99" s="4" t="s">
        <x:v>310</x:v>
      </x:c>
      <x:c r="D99" s="5">
        <x:v>306</x:v>
      </x:c>
      <x:c r="E99" s="13">
        <x:v>7</x:v>
      </x:c>
      <x:c r="F99" s="13">
        <x:v>7</x:v>
      </x:c>
      <x:c r="G99" s="13">
        <x:v>7</x:v>
      </x:c>
      <x:c r="H99" s="13">
        <x:v>8</x:v>
      </x:c>
      <x:c r="I99" s="13">
        <x:v>8</x:v>
      </x:c>
      <x:c r="J99" s="13">
        <x:v>8</x:v>
      </x:c>
      <x:c r="K99" s="13">
        <x:v>8</x:v>
      </x:c>
      <x:c r="L99" s="13">
        <x:v>8</x:v>
      </x:c>
      <x:c r="M99" s="13">
        <x:v>8</x:v>
      </x:c>
      <x:c r="N99" s="13">
        <x:v>8</x:v>
      </x:c>
      <x:c r="O99" s="13">
        <x:v>8</x:v>
      </x:c>
      <x:c r="P99" s="13">
        <x:v>7</x:v>
      </x:c>
      <x:c r="Q99" s="13" t="n">
        <x:f t="shared" si="3">COUNT(E99:P99)</x:f>
        <x:v>12</x:v>
      </x:c>
      <x:c r="R99" s="13" t="n">
        <x:f t="shared" si="4">SUM(E99:P99)</x:f>
        <x:v>92</x:v>
      </x:c>
      <x:c r="S99" s="14" t="n">
        <x:f>IF(Q99&gt;0,R99/Q99,"")</x:f>
        <x:v>7.666666666666667</x:v>
      </x:c>
      <x:c r="T99" s="15">
        <x:v>1449175</x:v>
      </x:c>
      <x:c r="U99" s="15">
        <x:v>1130309</x:v>
      </x:c>
      <x:c r="V99" s="14">
        <x:v>21695631</x:v>
      </x:c>
      <x:c r="W99" s="14" t="n">
        <x:f>IF(AND(Q99&gt;0,S99&gt;0,V99&lt;&gt;""),V99/S99/Q99,"")</x:f>
        <x:v>235822.0760869565</x:v>
      </x:c>
      <x:c r="X99" s="3" t="s">
        <x:v>311</x:v>
      </x:c>
    </x:row>
    <x:row r="100">
      <x:c r="A100" s="12" t="s">
        <x:v>312</x:v>
      </x:c>
      <x:c r="B100" s="3" t="s">
        <x:v>313</x:v>
      </x:c>
      <x:c r="C100" s="4" t="s">
        <x:v>314</x:v>
      </x:c>
      <x:c r="D100" s="5">
        <x:v>306</x:v>
      </x:c>
      <x:c r="E100" s="13">
        <x:v>1</x:v>
      </x:c>
      <x:c r="F100" s="13">
        <x:v>1</x:v>
      </x:c>
      <x:c r="G100" s="13">
        <x:v>1</x:v>
      </x:c>
      <x:c r="H100" s="13">
        <x:v>1</x:v>
      </x:c>
      <x:c r="I100" s="13">
        <x:v>1</x:v>
      </x:c>
      <x:c r="J100" s="13">
        <x:v>1</x:v>
      </x:c>
      <x:c r="K100" s="13">
        <x:v>1</x:v>
      </x:c>
      <x:c r="L100" s="13">
        <x:v>1</x:v>
      </x:c>
      <x:c r="M100" s="13">
        <x:v>1</x:v>
      </x:c>
      <x:c r="N100" s="13">
        <x:v>1</x:v>
      </x:c>
      <x:c r="O100" s="13">
        <x:v>1</x:v>
      </x:c>
      <x:c r="P100" s="13">
        <x:v>1</x:v>
      </x:c>
      <x:c r="Q100" s="13" t="n">
        <x:f t="shared" si="3">COUNT(E100:P100)</x:f>
        <x:v>12</x:v>
      </x:c>
      <x:c r="R100" s="13" t="n">
        <x:f t="shared" si="4">SUM(E100:P100)</x:f>
        <x:v>12</x:v>
      </x:c>
      <x:c r="S100" s="14" t="n">
        <x:f>IF(Q100&gt;0,R100/Q100,"")</x:f>
        <x:v>1</x:v>
      </x:c>
      <x:c r="T100" s="15">
        <x:v>186132</x:v>
      </x:c>
      <x:c r="U100" s="15">
        <x:v>148502</x:v>
      </x:c>
      <x:c r="V100" s="14">
        <x:v>2820000</x:v>
      </x:c>
      <x:c r="W100" s="14" t="n">
        <x:f>IF(AND(Q100&gt;0,S100&gt;0,V100&lt;&gt;""),V100/S100/Q100,"")</x:f>
        <x:v>235000</x:v>
      </x:c>
      <x:c r="X100" s="3" t="s">
        <x:v>315</x:v>
      </x:c>
    </x:row>
    <x:row r="101">
      <x:c r="A101" s="12" t="s">
        <x:v>316</x:v>
      </x:c>
      <x:c r="B101" s="3" t="s">
        <x:v>317</x:v>
      </x:c>
      <x:c r="C101" s="4" t="s">
        <x:v>318</x:v>
      </x:c>
      <x:c r="D101" s="5">
        <x:v>306</x:v>
      </x:c>
      <x:c r="E101" s="13">
        <x:v>2</x:v>
      </x:c>
      <x:c r="F101" s="13">
        <x:v>2</x:v>
      </x:c>
      <x:c r="G101" s="13">
        <x:v>2</x:v>
      </x:c>
      <x:c r="H101" s="13">
        <x:v>2</x:v>
      </x:c>
      <x:c r="I101" s="13">
        <x:v>2</x:v>
      </x:c>
      <x:c r="J101" s="13">
        <x:v>2</x:v>
      </x:c>
      <x:c r="K101" s="13">
        <x:v>2</x:v>
      </x:c>
      <x:c r="L101" s="13">
        <x:v>2</x:v>
      </x:c>
      <x:c r="M101" s="13">
        <x:v>2</x:v>
      </x:c>
      <x:c r="N101" s="13">
        <x:v>2</x:v>
      </x:c>
      <x:c r="O101" s="13">
        <x:v>2</x:v>
      </x:c>
      <x:c r="P101" s="13">
        <x:v>2</x:v>
      </x:c>
      <x:c r="Q101" s="13" t="n">
        <x:f t="shared" si="3">COUNT(E101:P101)</x:f>
        <x:v>12</x:v>
      </x:c>
      <x:c r="R101" s="13" t="n">
        <x:f t="shared" si="4">SUM(E101:P101)</x:f>
        <x:v>24</x:v>
      </x:c>
      <x:c r="S101" s="14" t="n">
        <x:f>IF(Q101&gt;0,R101/Q101,"")</x:f>
        <x:v>2</x:v>
      </x:c>
      <x:c r="T101" s="15">
        <x:v>359449</x:v>
      </x:c>
      <x:c r="U101" s="15">
        <x:v>261834</x:v>
      </x:c>
      <x:c r="V101" s="14">
        <x:v>5637074</x:v>
      </x:c>
      <x:c r="W101" s="14" t="n">
        <x:f>IF(AND(Q101&gt;0,S101&gt;0,V101&lt;&gt;""),V101/S101/Q101,"")</x:f>
        <x:v>234878.08333333334</x:v>
      </x:c>
      <x:c r="X101" s="3" t="s">
        <x:v>319</x:v>
      </x:c>
    </x:row>
    <x:row r="102">
      <x:c r="A102" s="12" t="s">
        <x:v>19</x:v>
      </x:c>
      <x:c r="B102" s="3" t="s">
        <x:v>85</x:v>
      </x:c>
      <x:c r="C102" s="4" t="s">
        <x:v>320</x:v>
      </x:c>
      <x:c r="D102" s="5">
        <x:v>306</x:v>
      </x:c>
      <x:c r="E102" s="13">
        <x:v>39</x:v>
      </x:c>
      <x:c r="F102" s="13">
        <x:v>39</x:v>
      </x:c>
      <x:c r="G102" s="13">
        <x:v>38</x:v>
      </x:c>
      <x:c r="H102" s="13">
        <x:v>38</x:v>
      </x:c>
      <x:c r="I102" s="13">
        <x:v>38</x:v>
      </x:c>
      <x:c r="J102" s="13">
        <x:v>38</x:v>
      </x:c>
      <x:c r="K102" s="13">
        <x:v>37</x:v>
      </x:c>
      <x:c r="L102" s="13">
        <x:v>38</x:v>
      </x:c>
      <x:c r="M102" s="13">
        <x:v>38</x:v>
      </x:c>
      <x:c r="N102" s="13">
        <x:v>38</x:v>
      </x:c>
      <x:c r="O102" s="13">
        <x:v>38</x:v>
      </x:c>
      <x:c r="P102" s="13">
        <x:v>38</x:v>
      </x:c>
      <x:c r="Q102" s="13" t="n">
        <x:f t="shared" si="3">COUNT(E102:P102)</x:f>
        <x:v>12</x:v>
      </x:c>
      <x:c r="R102" s="13" t="n">
        <x:f t="shared" si="4">SUM(E102:P102)</x:f>
        <x:v>457</x:v>
      </x:c>
      <x:c r="S102" s="14" t="n">
        <x:f>IF(Q102&gt;0,R102/Q102,"")</x:f>
        <x:v>38.083333333333336</x:v>
      </x:c>
      <x:c r="T102" s="15">
        <x:v>14914449</x:v>
      </x:c>
      <x:c r="U102" s="15">
        <x:v>6337452</x:v>
      </x:c>
      <x:c r="V102" s="14">
        <x:v>106963192</x:v>
      </x:c>
      <x:c r="W102" s="14" t="n">
        <x:f>IF(AND(Q102&gt;0,S102&gt;0,V102&lt;&gt;""),V102/S102/Q102,"")</x:f>
        <x:v>234055.124726477</x:v>
      </x:c>
      <x:c r="X102" s="3" t="s">
        <x:v>321</x:v>
      </x:c>
    </x:row>
    <x:row r="103">
      <x:c r="A103" s="12" t="s">
        <x:v>322</x:v>
      </x:c>
      <x:c r="B103" s="3" t="s">
        <x:v>323</x:v>
      </x:c>
      <x:c r="C103" s="4" t="s">
        <x:v>324</x:v>
      </x:c>
      <x:c r="D103" s="5">
        <x:v>306</x:v>
      </x:c>
      <x:c r="E103" s="13">
        <x:v>13</x:v>
      </x:c>
      <x:c r="F103" s="13">
        <x:v>13</x:v>
      </x:c>
      <x:c r="G103" s="13">
        <x:v>13</x:v>
      </x:c>
      <x:c r="H103" s="13">
        <x:v>11</x:v>
      </x:c>
      <x:c r="I103" s="13">
        <x:v>12</x:v>
      </x:c>
      <x:c r="J103" s="13">
        <x:v>12</x:v>
      </x:c>
      <x:c r="K103" s="13">
        <x:v>12</x:v>
      </x:c>
      <x:c r="L103" s="13">
        <x:v>12</x:v>
      </x:c>
      <x:c r="M103" s="13">
        <x:v>11</x:v>
      </x:c>
      <x:c r="N103" s="13"/>
      <x:c r="O103" s="13"/>
      <x:c r="P103" s="13"/>
      <x:c r="Q103" s="13" t="n">
        <x:f t="shared" si="3">COUNT(E103:P103)</x:f>
        <x:v>9</x:v>
      </x:c>
      <x:c r="R103" s="13" t="n">
        <x:f t="shared" si="4">SUM(E103:P103)</x:f>
        <x:v>109</x:v>
      </x:c>
      <x:c r="S103" s="14" t="n">
        <x:f>IF(Q103&gt;0,R103/Q103,"")</x:f>
        <x:v>12.11111111111111</x:v>
      </x:c>
      <x:c r="T103" s="15">
        <x:v>1391984</x:v>
      </x:c>
      <x:c r="U103" s="15">
        <x:v>1264304</x:v>
      </x:c>
      <x:c r="V103" s="14">
        <x:v>25382554</x:v>
      </x:c>
      <x:c r="W103" s="14" t="n">
        <x:f>IF(AND(Q103&gt;0,S103&gt;0,V103&lt;&gt;""),V103/S103/Q103,"")</x:f>
        <x:v>232867.46788990826</x:v>
      </x:c>
      <x:c r="X103" s="3" t="s">
        <x:v>325</x:v>
      </x:c>
    </x:row>
    <x:row r="104">
      <x:c r="A104" s="12" t="s">
        <x:v>158</x:v>
      </x:c>
      <x:c r="B104" s="3" t="s">
        <x:v>159</x:v>
      </x:c>
      <x:c r="C104" s="4" t="s">
        <x:v>326</x:v>
      </x:c>
      <x:c r="D104" s="5">
        <x:v>306</x:v>
      </x:c>
      <x:c r="E104" s="13">
        <x:v>4</x:v>
      </x:c>
      <x:c r="F104" s="13">
        <x:v>4</x:v>
      </x:c>
      <x:c r="G104" s="13">
        <x:v>4</x:v>
      </x:c>
      <x:c r="H104" s="13">
        <x:v>3</x:v>
      </x:c>
      <x:c r="I104" s="13">
        <x:v>4</x:v>
      </x:c>
      <x:c r="J104" s="13">
        <x:v>4</x:v>
      </x:c>
      <x:c r="K104" s="13">
        <x:v>4</x:v>
      </x:c>
      <x:c r="L104" s="13">
        <x:v>3</x:v>
      </x:c>
      <x:c r="M104" s="13">
        <x:v>3</x:v>
      </x:c>
      <x:c r="N104" s="13">
        <x:v>3</x:v>
      </x:c>
      <x:c r="O104" s="13">
        <x:v>6</x:v>
      </x:c>
      <x:c r="P104" s="13">
        <x:v>4</x:v>
      </x:c>
      <x:c r="Q104" s="13" t="n">
        <x:f t="shared" si="3">COUNT(E104:P104)</x:f>
        <x:v>12</x:v>
      </x:c>
      <x:c r="R104" s="13" t="n">
        <x:f t="shared" si="4">SUM(E104:P104)</x:f>
        <x:v>46</x:v>
      </x:c>
      <x:c r="S104" s="14" t="n">
        <x:f>IF(Q104&gt;0,R104/Q104,"")</x:f>
        <x:v>3.8333333333333335</x:v>
      </x:c>
      <x:c r="T104" s="15">
        <x:v>590688</x:v>
      </x:c>
      <x:c r="U104" s="15">
        <x:v>533398</x:v>
      </x:c>
      <x:c r="V104" s="14">
        <x:v>10694018</x:v>
      </x:c>
      <x:c r="W104" s="14" t="n">
        <x:f>IF(AND(Q104&gt;0,S104&gt;0,V104&lt;&gt;""),V104/S104/Q104,"")</x:f>
        <x:v>232478.65217391305</x:v>
      </x:c>
      <x:c r="X104" s="3" t="s">
        <x:v>327</x:v>
      </x:c>
    </x:row>
    <x:row r="105">
      <x:c r="A105" s="12" t="s">
        <x:v>328</x:v>
      </x:c>
      <x:c r="B105" s="3" t="s">
        <x:v>329</x:v>
      </x:c>
      <x:c r="C105" s="4" t="s">
        <x:v>330</x:v>
      </x:c>
      <x:c r="D105" s="5">
        <x:v>306</x:v>
      </x:c>
      <x:c r="E105" s="13">
        <x:v>6</x:v>
      </x:c>
      <x:c r="F105" s="13">
        <x:v>6</x:v>
      </x:c>
      <x:c r="G105" s="13">
        <x:v>6</x:v>
      </x:c>
      <x:c r="H105" s="13">
        <x:v>6</x:v>
      </x:c>
      <x:c r="I105" s="13">
        <x:v>6</x:v>
      </x:c>
      <x:c r="J105" s="13">
        <x:v>6</x:v>
      </x:c>
      <x:c r="K105" s="13">
        <x:v>6</x:v>
      </x:c>
      <x:c r="L105" s="13">
        <x:v>6</x:v>
      </x:c>
      <x:c r="M105" s="13">
        <x:v>6</x:v>
      </x:c>
      <x:c r="N105" s="13">
        <x:v>6</x:v>
      </x:c>
      <x:c r="O105" s="13">
        <x:v>6</x:v>
      </x:c>
      <x:c r="P105" s="13">
        <x:v>6</x:v>
      </x:c>
      <x:c r="Q105" s="13" t="n">
        <x:f t="shared" si="3">COUNT(E105:P105)</x:f>
        <x:v>12</x:v>
      </x:c>
      <x:c r="R105" s="13" t="n">
        <x:f t="shared" si="4">SUM(E105:P105)</x:f>
        <x:v>72</x:v>
      </x:c>
      <x:c r="S105" s="14" t="n">
        <x:f>IF(Q105&gt;0,R105/Q105,"")</x:f>
        <x:v>6</x:v>
      </x:c>
      <x:c r="T105" s="15">
        <x:v>1103420</x:v>
      </x:c>
      <x:c r="U105" s="15">
        <x:v>1111364</x:v>
      </x:c>
      <x:c r="V105" s="14">
        <x:v>16544995</x:v>
      </x:c>
      <x:c r="W105" s="14" t="n">
        <x:f>IF(AND(Q105&gt;0,S105&gt;0,V105&lt;&gt;""),V105/S105/Q105,"")</x:f>
        <x:v>229791.59722222222</x:v>
      </x:c>
      <x:c r="X105" s="3" t="s">
        <x:v>331</x:v>
      </x:c>
    </x:row>
    <x:row r="106">
      <x:c r="A106" s="12" t="s">
        <x:v>332</x:v>
      </x:c>
      <x:c r="B106" s="3" t="s">
        <x:v>333</x:v>
      </x:c>
      <x:c r="C106" s="4" t="s">
        <x:v>334</x:v>
      </x:c>
      <x:c r="D106" s="5">
        <x:v>306</x:v>
      </x:c>
      <x:c r="E106" s="13">
        <x:v>1</x:v>
      </x:c>
      <x:c r="F106" s="13">
        <x:v>1</x:v>
      </x:c>
      <x:c r="G106" s="13">
        <x:v>1</x:v>
      </x:c>
      <x:c r="H106" s="13">
        <x:v>1</x:v>
      </x:c>
      <x:c r="I106" s="13">
        <x:v>1</x:v>
      </x:c>
      <x:c r="J106" s="13">
        <x:v>1</x:v>
      </x:c>
      <x:c r="K106" s="13"/>
      <x:c r="L106" s="13"/>
      <x:c r="M106" s="13"/>
      <x:c r="N106" s="13"/>
      <x:c r="O106" s="13"/>
      <x:c r="P106" s="13"/>
      <x:c r="Q106" s="13" t="n">
        <x:f t="shared" si="3">COUNT(E106:P106)</x:f>
        <x:v>6</x:v>
      </x:c>
      <x:c r="R106" s="13" t="n">
        <x:f t="shared" si="4">SUM(E106:P106)</x:f>
        <x:v>6</x:v>
      </x:c>
      <x:c r="S106" s="14" t="n">
        <x:f>IF(Q106&gt;0,R106/Q106,"")</x:f>
        <x:v>1</x:v>
      </x:c>
      <x:c r="T106" s="15">
        <x:v>120900</x:v>
      </x:c>
      <x:c r="U106" s="15">
        <x:v>71580</x:v>
      </x:c>
      <x:c r="V106" s="14">
        <x:v>1373880</x:v>
      </x:c>
      <x:c r="W106" s="14" t="n">
        <x:f>IF(AND(Q106&gt;0,S106&gt;0,V106&lt;&gt;""),V106/S106/Q106,"")</x:f>
        <x:v>228980</x:v>
      </x:c>
      <x:c r="X106" s="3" t="s">
        <x:v>335</x:v>
      </x:c>
    </x:row>
    <x:row r="107">
      <x:c r="A107" s="12" t="s">
        <x:v>336</x:v>
      </x:c>
      <x:c r="B107" s="3" t="s">
        <x:v>337</x:v>
      </x:c>
      <x:c r="C107" s="4" t="s">
        <x:v>338</x:v>
      </x:c>
      <x:c r="D107" s="5">
        <x:v>306</x:v>
      </x:c>
      <x:c r="E107" s="13">
        <x:v>5</x:v>
      </x:c>
      <x:c r="F107" s="13">
        <x:v>5</x:v>
      </x:c>
      <x:c r="G107" s="13">
        <x:v>5</x:v>
      </x:c>
      <x:c r="H107" s="13">
        <x:v>5</x:v>
      </x:c>
      <x:c r="I107" s="13">
        <x:v>5</x:v>
      </x:c>
      <x:c r="J107" s="13">
        <x:v>4</x:v>
      </x:c>
      <x:c r="K107" s="13">
        <x:v>4</x:v>
      </x:c>
      <x:c r="L107" s="13">
        <x:v>4</x:v>
      </x:c>
      <x:c r="M107" s="13">
        <x:v>4</x:v>
      </x:c>
      <x:c r="N107" s="13">
        <x:v>3</x:v>
      </x:c>
      <x:c r="O107" s="13">
        <x:v>4</x:v>
      </x:c>
      <x:c r="P107" s="13">
        <x:v>4</x:v>
      </x:c>
      <x:c r="Q107" s="13" t="n">
        <x:f t="shared" si="3">COUNT(E107:P107)</x:f>
        <x:v>12</x:v>
      </x:c>
      <x:c r="R107" s="13" t="n">
        <x:f t="shared" si="4">SUM(E107:P107)</x:f>
        <x:v>52</x:v>
      </x:c>
      <x:c r="S107" s="14" t="n">
        <x:f>IF(Q107&gt;0,R107/Q107,"")</x:f>
        <x:v>4.333333333333333</x:v>
      </x:c>
      <x:c r="T107" s="15">
        <x:v>931975</x:v>
      </x:c>
      <x:c r="U107" s="15">
        <x:v>771017</x:v>
      </x:c>
      <x:c r="V107" s="14">
        <x:v>11877693</x:v>
      </x:c>
      <x:c r="W107" s="14" t="n">
        <x:f>IF(AND(Q107&gt;0,S107&gt;0,V107&lt;&gt;""),V107/S107/Q107,"")</x:f>
        <x:v>228417.1730769231</x:v>
      </x:c>
      <x:c r="X107" s="3" t="s">
        <x:v>339</x:v>
      </x:c>
    </x:row>
    <x:row r="108">
      <x:c r="A108" s="12" t="s">
        <x:v>25</x:v>
      </x:c>
      <x:c r="B108" s="3" t="s">
        <x:v>26</x:v>
      </x:c>
      <x:c r="C108" s="4" t="s">
        <x:v>340</x:v>
      </x:c>
      <x:c r="D108" s="5">
        <x:v>306</x:v>
      </x:c>
      <x:c r="E108" s="13">
        <x:v>20</x:v>
      </x:c>
      <x:c r="F108" s="13">
        <x:v>20</x:v>
      </x:c>
      <x:c r="G108" s="13">
        <x:v>20</x:v>
      </x:c>
      <x:c r="H108" s="13">
        <x:v>19</x:v>
      </x:c>
      <x:c r="I108" s="13">
        <x:v>19</x:v>
      </x:c>
      <x:c r="J108" s="13">
        <x:v>19</x:v>
      </x:c>
      <x:c r="K108" s="13">
        <x:v>25</x:v>
      </x:c>
      <x:c r="L108" s="13">
        <x:v>25</x:v>
      </x:c>
      <x:c r="M108" s="13">
        <x:v>25</x:v>
      </x:c>
      <x:c r="N108" s="13">
        <x:v>23</x:v>
      </x:c>
      <x:c r="O108" s="13">
        <x:v>23</x:v>
      </x:c>
      <x:c r="P108" s="13">
        <x:v>23</x:v>
      </x:c>
      <x:c r="Q108" s="13" t="n">
        <x:f t="shared" si="3">COUNT(E108:P108)</x:f>
        <x:v>12</x:v>
      </x:c>
      <x:c r="R108" s="13" t="n">
        <x:f t="shared" si="4">SUM(E108:P108)</x:f>
        <x:v>261</x:v>
      </x:c>
      <x:c r="S108" s="14" t="n">
        <x:f>IF(Q108&gt;0,R108/Q108,"")</x:f>
        <x:v>21.75</x:v>
      </x:c>
      <x:c r="T108" s="15">
        <x:v>3881124</x:v>
      </x:c>
      <x:c r="U108" s="15">
        <x:v>3165910</x:v>
      </x:c>
      <x:c r="V108" s="14">
        <x:v>59587540</x:v>
      </x:c>
      <x:c r="W108" s="14" t="n">
        <x:f>IF(AND(Q108&gt;0,S108&gt;0,V108&lt;&gt;""),V108/S108/Q108,"")</x:f>
        <x:v>228304.7509578544</x:v>
      </x:c>
      <x:c r="X108" s="3" t="s">
        <x:v>341</x:v>
      </x:c>
    </x:row>
    <x:row r="109">
      <x:c r="A109" s="12" t="s">
        <x:v>259</x:v>
      </x:c>
      <x:c r="B109" s="3" t="s">
        <x:v>260</x:v>
      </x:c>
      <x:c r="C109" s="4" t="s">
        <x:v>342</x:v>
      </x:c>
      <x:c r="D109" s="5">
        <x:v>306</x:v>
      </x:c>
      <x:c r="E109" s="13">
        <x:v>13</x:v>
      </x:c>
      <x:c r="F109" s="13">
        <x:v>13</x:v>
      </x:c>
      <x:c r="G109" s="13">
        <x:v>13</x:v>
      </x:c>
      <x:c r="H109" s="13">
        <x:v>13</x:v>
      </x:c>
      <x:c r="I109" s="13">
        <x:v>12</x:v>
      </x:c>
      <x:c r="J109" s="13">
        <x:v>13</x:v>
      </x:c>
      <x:c r="K109" s="13">
        <x:v>13</x:v>
      </x:c>
      <x:c r="L109" s="13">
        <x:v>13</x:v>
      </x:c>
      <x:c r="M109" s="13">
        <x:v>13</x:v>
      </x:c>
      <x:c r="N109" s="13">
        <x:v>13</x:v>
      </x:c>
      <x:c r="O109" s="13">
        <x:v>13</x:v>
      </x:c>
      <x:c r="P109" s="13">
        <x:v>13</x:v>
      </x:c>
      <x:c r="Q109" s="13" t="n">
        <x:f t="shared" si="3">COUNT(E109:P109)</x:f>
        <x:v>12</x:v>
      </x:c>
      <x:c r="R109" s="13" t="n">
        <x:f t="shared" si="4">SUM(E109:P109)</x:f>
        <x:v>155</x:v>
      </x:c>
      <x:c r="S109" s="14" t="n">
        <x:f>IF(Q109&gt;0,R109/Q109,"")</x:f>
        <x:v>12.916666666666666</x:v>
      </x:c>
      <x:c r="T109" s="15">
        <x:v>2120530</x:v>
      </x:c>
      <x:c r="U109" s="15">
        <x:v>0</x:v>
      </x:c>
      <x:c r="V109" s="14">
        <x:v>35290080</x:v>
      </x:c>
      <x:c r="W109" s="14" t="n">
        <x:f>IF(AND(Q109&gt;0,S109&gt;0,V109&lt;&gt;""),V109/S109/Q109,"")</x:f>
        <x:v>227677.935483871</x:v>
      </x:c>
      <x:c r="X109" s="3" t="s">
        <x:v>343</x:v>
      </x:c>
    </x:row>
    <x:row r="110">
      <x:c r="A110" s="12" t="s">
        <x:v>344</x:v>
      </x:c>
      <x:c r="B110" s="3" t="s">
        <x:v>345</x:v>
      </x:c>
      <x:c r="C110" s="4" t="s">
        <x:v>346</x:v>
      </x:c>
      <x:c r="D110" s="5">
        <x:v>306</x:v>
      </x:c>
      <x:c r="E110" s="13">
        <x:v>6</x:v>
      </x:c>
      <x:c r="F110" s="13">
        <x:v>6</x:v>
      </x:c>
      <x:c r="G110" s="13">
        <x:v>8</x:v>
      </x:c>
      <x:c r="H110" s="13">
        <x:v>7</x:v>
      </x:c>
      <x:c r="I110" s="13">
        <x:v>8</x:v>
      </x:c>
      <x:c r="J110" s="13">
        <x:v>8</x:v>
      </x:c>
      <x:c r="K110" s="13">
        <x:v>8</x:v>
      </x:c>
      <x:c r="L110" s="13">
        <x:v>8</x:v>
      </x:c>
      <x:c r="M110" s="13">
        <x:v>12</x:v>
      </x:c>
      <x:c r="N110" s="13"/>
      <x:c r="O110" s="13"/>
      <x:c r="P110" s="13"/>
      <x:c r="Q110" s="13" t="n">
        <x:f t="shared" si="3">COUNT(E110:P110)</x:f>
        <x:v>9</x:v>
      </x:c>
      <x:c r="R110" s="13" t="n">
        <x:f t="shared" si="4">SUM(E110:P110)</x:f>
        <x:v>71</x:v>
      </x:c>
      <x:c r="S110" s="14" t="n">
        <x:f>IF(Q110&gt;0,R110/Q110,"")</x:f>
        <x:v>7.888888888888889</x:v>
      </x:c>
      <x:c r="T110" s="15">
        <x:v>1037141</x:v>
      </x:c>
      <x:c r="U110" s="15">
        <x:v>897235</x:v>
      </x:c>
      <x:c r="V110" s="14">
        <x:v>16000710</x:v>
      </x:c>
      <x:c r="W110" s="14" t="n">
        <x:f>IF(AND(Q110&gt;0,S110&gt;0,V110&lt;&gt;""),V110/S110/Q110,"")</x:f>
        <x:v>225362.11267605633</x:v>
      </x:c>
      <x:c r="X110" s="3" t="s">
        <x:v>347</x:v>
      </x:c>
    </x:row>
    <x:row r="111">
      <x:c r="A111" s="12" t="s">
        <x:v>71</x:v>
      </x:c>
      <x:c r="B111" s="3" t="s">
        <x:v>72</x:v>
      </x:c>
      <x:c r="C111" s="4" t="s">
        <x:v>348</x:v>
      </x:c>
      <x:c r="D111" s="5">
        <x:v>306</x:v>
      </x:c>
      <x:c r="E111" s="13">
        <x:v>36</x:v>
      </x:c>
      <x:c r="F111" s="13">
        <x:v>52</x:v>
      </x:c>
      <x:c r="G111" s="13">
        <x:v>56</x:v>
      </x:c>
      <x:c r="H111" s="13">
        <x:v>59</x:v>
      </x:c>
      <x:c r="I111" s="13">
        <x:v>59</x:v>
      </x:c>
      <x:c r="J111" s="13">
        <x:v>59</x:v>
      </x:c>
      <x:c r="K111" s="13">
        <x:v>60</x:v>
      </x:c>
      <x:c r="L111" s="13">
        <x:v>56</x:v>
      </x:c>
      <x:c r="M111" s="13">
        <x:v>53</x:v>
      </x:c>
      <x:c r="N111" s="13">
        <x:v>56</x:v>
      </x:c>
      <x:c r="O111" s="13">
        <x:v>53</x:v>
      </x:c>
      <x:c r="P111" s="13">
        <x:v>56</x:v>
      </x:c>
      <x:c r="Q111" s="13" t="n">
        <x:f t="shared" si="3">COUNT(E111:P111)</x:f>
        <x:v>12</x:v>
      </x:c>
      <x:c r="R111" s="13" t="n">
        <x:f t="shared" si="4">SUM(E111:P111)</x:f>
        <x:v>655</x:v>
      </x:c>
      <x:c r="S111" s="14" t="n">
        <x:f>IF(Q111&gt;0,R111/Q111,"")</x:f>
        <x:v>54.583333333333336</x:v>
      </x:c>
      <x:c r="T111" s="15">
        <x:v>10662376</x:v>
      </x:c>
      <x:c r="U111" s="15">
        <x:v>7780053</x:v>
      </x:c>
      <x:c r="V111" s="14">
        <x:v>146209325</x:v>
      </x:c>
      <x:c r="W111" s="14" t="n">
        <x:f>IF(AND(Q111&gt;0,S111&gt;0,V111&lt;&gt;""),V111/S111/Q111,"")</x:f>
        <x:v>223220.34351145037</x:v>
      </x:c>
      <x:c r="X111" s="3" t="s">
        <x:v>349</x:v>
      </x:c>
    </x:row>
    <x:row r="112">
      <x:c r="A112" s="12" t="s">
        <x:v>350</x:v>
      </x:c>
      <x:c r="B112" s="3" t="s">
        <x:v>351</x:v>
      </x:c>
      <x:c r="C112" s="4" t="s">
        <x:v>352</x:v>
      </x:c>
      <x:c r="D112" s="5">
        <x:v>306</x:v>
      </x:c>
      <x:c r="E112" s="13">
        <x:v>37</x:v>
      </x:c>
      <x:c r="F112" s="13">
        <x:v>37</x:v>
      </x:c>
      <x:c r="G112" s="13">
        <x:v>37</x:v>
      </x:c>
      <x:c r="H112" s="13">
        <x:v>12</x:v>
      </x:c>
      <x:c r="I112" s="13">
        <x:v>12</x:v>
      </x:c>
      <x:c r="J112" s="13">
        <x:v>12</x:v>
      </x:c>
      <x:c r="K112" s="13">
        <x:v>11</x:v>
      </x:c>
      <x:c r="L112" s="13">
        <x:v>11</x:v>
      </x:c>
      <x:c r="M112" s="13">
        <x:v>11</x:v>
      </x:c>
      <x:c r="N112" s="13">
        <x:v>11</x:v>
      </x:c>
      <x:c r="O112" s="13">
        <x:v>11</x:v>
      </x:c>
      <x:c r="P112" s="13">
        <x:v>11</x:v>
      </x:c>
      <x:c r="Q112" s="13" t="n">
        <x:f t="shared" si="3">COUNT(E112:P112)</x:f>
        <x:v>12</x:v>
      </x:c>
      <x:c r="R112" s="13" t="n">
        <x:f t="shared" si="4">SUM(E112:P112)</x:f>
        <x:v>213</x:v>
      </x:c>
      <x:c r="S112" s="14" t="n">
        <x:f>IF(Q112&gt;0,R112/Q112,"")</x:f>
        <x:v>17.75</x:v>
      </x:c>
      <x:c r="T112" s="15">
        <x:v>0</x:v>
      </x:c>
      <x:c r="U112" s="15">
        <x:v>0</x:v>
      </x:c>
      <x:c r="V112" s="14">
        <x:v>47075971</x:v>
      </x:c>
      <x:c r="W112" s="14" t="n">
        <x:f>IF(AND(Q112&gt;0,S112&gt;0,V112&lt;&gt;""),V112/S112/Q112,"")</x:f>
        <x:v>221013.9483568075</x:v>
      </x:c>
      <x:c r="X112" s="3" t="s">
        <x:v>353</x:v>
      </x:c>
    </x:row>
    <x:row r="113">
      <x:c r="A113" s="12" t="s">
        <x:v>354</x:v>
      </x:c>
      <x:c r="B113" s="3" t="s">
        <x:v>355</x:v>
      </x:c>
      <x:c r="C113" s="4" t="s">
        <x:v>356</x:v>
      </x:c>
      <x:c r="D113" s="5">
        <x:v>306</x:v>
      </x:c>
      <x:c r="E113" s="13">
        <x:v>16</x:v>
      </x:c>
      <x:c r="F113" s="13">
        <x:v>15</x:v>
      </x:c>
      <x:c r="G113" s="13">
        <x:v>12</x:v>
      </x:c>
      <x:c r="H113" s="13">
        <x:v>12</x:v>
      </x:c>
      <x:c r="I113" s="13">
        <x:v>10</x:v>
      </x:c>
      <x:c r="J113" s="13">
        <x:v>10</x:v>
      </x:c>
      <x:c r="K113" s="13">
        <x:v>10</x:v>
      </x:c>
      <x:c r="L113" s="13">
        <x:v>10</x:v>
      </x:c>
      <x:c r="M113" s="13">
        <x:v>10</x:v>
      </x:c>
      <x:c r="N113" s="13">
        <x:v>8</x:v>
      </x:c>
      <x:c r="O113" s="13">
        <x:v>10</x:v>
      </x:c>
      <x:c r="P113" s="13">
        <x:v>11</x:v>
      </x:c>
      <x:c r="Q113" s="13" t="n">
        <x:f t="shared" si="3">COUNT(E113:P113)</x:f>
        <x:v>12</x:v>
      </x:c>
      <x:c r="R113" s="13" t="n">
        <x:f t="shared" si="4">SUM(E113:P113)</x:f>
        <x:v>134</x:v>
      </x:c>
      <x:c r="S113" s="14" t="n">
        <x:f>IF(Q113&gt;0,R113/Q113,"")</x:f>
        <x:v>11.166666666666666</x:v>
      </x:c>
      <x:c r="T113" s="15">
        <x:v>1845312</x:v>
      </x:c>
      <x:c r="U113" s="15">
        <x:v>1560290</x:v>
      </x:c>
      <x:c r="V113" s="14">
        <x:v>29327685</x:v>
      </x:c>
      <x:c r="W113" s="14" t="n">
        <x:f>IF(AND(Q113&gt;0,S113&gt;0,V113&lt;&gt;""),V113/S113/Q113,"")</x:f>
        <x:v>218863.3208955224</x:v>
      </x:c>
      <x:c r="X113" s="3" t="s">
        <x:v>357</x:v>
      </x:c>
    </x:row>
    <x:row r="114">
      <x:c r="A114" s="12" t="s">
        <x:v>51</x:v>
      </x:c>
      <x:c r="B114" s="3" t="s">
        <x:v>52</x:v>
      </x:c>
      <x:c r="C114" s="4" t="s">
        <x:v>358</x:v>
      </x:c>
      <x:c r="D114" s="5">
        <x:v>306</x:v>
      </x:c>
      <x:c r="E114" s="13">
        <x:v>163</x:v>
      </x:c>
      <x:c r="F114" s="13">
        <x:v>154</x:v>
      </x:c>
      <x:c r="G114" s="13">
        <x:v>148</x:v>
      </x:c>
      <x:c r="H114" s="13">
        <x:v>171</x:v>
      </x:c>
      <x:c r="I114" s="13">
        <x:v>184</x:v>
      </x:c>
      <x:c r="J114" s="13">
        <x:v>187</x:v>
      </x:c>
      <x:c r="K114" s="13">
        <x:v>177</x:v>
      </x:c>
      <x:c r="L114" s="13">
        <x:v>195</x:v>
      </x:c>
      <x:c r="M114" s="13">
        <x:v>249</x:v>
      </x:c>
      <x:c r="N114" s="13">
        <x:v>218</x:v>
      </x:c>
      <x:c r="O114" s="13">
        <x:v>175</x:v>
      </x:c>
      <x:c r="P114" s="13">
        <x:v>134</x:v>
      </x:c>
      <x:c r="Q114" s="13" t="n">
        <x:f t="shared" si="3">COUNT(E114:P114)</x:f>
        <x:v>12</x:v>
      </x:c>
      <x:c r="R114" s="13" t="n">
        <x:f t="shared" si="4">SUM(E114:P114)</x:f>
        <x:v>2155</x:v>
      </x:c>
      <x:c r="S114" s="14" t="n">
        <x:f>IF(Q114&gt;0,R114/Q114,"")</x:f>
        <x:v>179.58333333333334</x:v>
      </x:c>
      <x:c r="T114" s="15">
        <x:v>31419654</x:v>
      </x:c>
      <x:c r="U114" s="15">
        <x:v>28866512</x:v>
      </x:c>
      <x:c r="V114" s="14">
        <x:v>471430888</x:v>
      </x:c>
      <x:c r="W114" s="14" t="n">
        <x:f>IF(AND(Q114&gt;0,S114&gt;0,V114&lt;&gt;""),V114/S114/Q114,"")</x:f>
        <x:v>218761.43294663573</x:v>
      </x:c>
      <x:c r="X114" s="3" t="s">
        <x:v>359</x:v>
      </x:c>
    </x:row>
    <x:row r="115">
      <x:c r="A115" s="12" t="s">
        <x:v>360</x:v>
      </x:c>
      <x:c r="B115" s="3" t="s">
        <x:v>361</x:v>
      </x:c>
      <x:c r="C115" s="4" t="s">
        <x:v>362</x:v>
      </x:c>
      <x:c r="D115" s="5">
        <x:v>306</x:v>
      </x:c>
      <x:c r="E115" s="13">
        <x:v>4</x:v>
      </x:c>
      <x:c r="F115" s="13">
        <x:v>4</x:v>
      </x:c>
      <x:c r="G115" s="13">
        <x:v>4</x:v>
      </x:c>
      <x:c r="H115" s="13">
        <x:v>4</x:v>
      </x:c>
      <x:c r="I115" s="13">
        <x:v>4</x:v>
      </x:c>
      <x:c r="J115" s="13">
        <x:v>4</x:v>
      </x:c>
      <x:c r="K115" s="13">
        <x:v>4</x:v>
      </x:c>
      <x:c r="L115" s="13">
        <x:v>4</x:v>
      </x:c>
      <x:c r="M115" s="13">
        <x:v>4</x:v>
      </x:c>
      <x:c r="N115" s="13"/>
      <x:c r="O115" s="13"/>
      <x:c r="P115" s="13"/>
      <x:c r="Q115" s="13" t="n">
        <x:f t="shared" si="3">COUNT(E115:P115)</x:f>
        <x:v>9</x:v>
      </x:c>
      <x:c r="R115" s="13" t="n">
        <x:f t="shared" si="4">SUM(E115:P115)</x:f>
        <x:v>36</x:v>
      </x:c>
      <x:c r="S115" s="14" t="n">
        <x:f>IF(Q115&gt;0,R115/Q115,"")</x:f>
        <x:v>4</x:v>
      </x:c>
      <x:c r="T115" s="15">
        <x:v>458496</x:v>
      </x:c>
      <x:c r="U115" s="15">
        <x:v>410247</x:v>
      </x:c>
      <x:c r="V115" s="14">
        <x:v>7874550</x:v>
      </x:c>
      <x:c r="W115" s="14" t="n">
        <x:f>IF(AND(Q115&gt;0,S115&gt;0,V115&lt;&gt;""),V115/S115/Q115,"")</x:f>
        <x:v>218737.5</x:v>
      </x:c>
      <x:c r="X115" s="3" t="s">
        <x:v>363</x:v>
      </x:c>
    </x:row>
    <x:row r="116">
      <x:c r="A116" s="12" t="s">
        <x:v>71</x:v>
      </x:c>
      <x:c r="B116" s="3" t="s">
        <x:v>72</x:v>
      </x:c>
      <x:c r="C116" s="4" t="s">
        <x:v>364</x:v>
      </x:c>
      <x:c r="D116" s="5">
        <x:v>306</x:v>
      </x:c>
      <x:c r="E116" s="13">
        <x:v>5</x:v>
      </x:c>
      <x:c r="F116" s="13">
        <x:v>4</x:v>
      </x:c>
      <x:c r="G116" s="13">
        <x:v>3</x:v>
      </x:c>
      <x:c r="H116" s="13">
        <x:v>3</x:v>
      </x:c>
      <x:c r="I116" s="13">
        <x:v>3</x:v>
      </x:c>
      <x:c r="J116" s="13">
        <x:v>3</x:v>
      </x:c>
      <x:c r="K116" s="13">
        <x:v>3</x:v>
      </x:c>
      <x:c r="L116" s="13">
        <x:v>3</x:v>
      </x:c>
      <x:c r="M116" s="13">
        <x:v>3</x:v>
      </x:c>
      <x:c r="N116" s="13">
        <x:v>3</x:v>
      </x:c>
      <x:c r="O116" s="13">
        <x:v>3</x:v>
      </x:c>
      <x:c r="P116" s="13">
        <x:v>3</x:v>
      </x:c>
      <x:c r="Q116" s="13" t="n">
        <x:f t="shared" si="3">COUNT(E116:P116)</x:f>
        <x:v>12</x:v>
      </x:c>
      <x:c r="R116" s="13" t="n">
        <x:f t="shared" si="4">SUM(E116:P116)</x:f>
        <x:v>39</x:v>
      </x:c>
      <x:c r="S116" s="14" t="n">
        <x:f>IF(Q116&gt;0,R116/Q116,"")</x:f>
        <x:v>3.25</x:v>
      </x:c>
      <x:c r="T116" s="15">
        <x:v>526811</x:v>
      </x:c>
      <x:c r="U116" s="15">
        <x:v>446772</x:v>
      </x:c>
      <x:c r="V116" s="14">
        <x:v>8506860</x:v>
      </x:c>
      <x:c r="W116" s="14" t="n">
        <x:f>IF(AND(Q116&gt;0,S116&gt;0,V116&lt;&gt;""),V116/S116/Q116,"")</x:f>
        <x:v>218124.61538461538</x:v>
      </x:c>
      <x:c r="X116" s="3" t="s">
        <x:v>365</x:v>
      </x:c>
    </x:row>
    <x:row r="117">
      <x:c r="A117" s="12" t="s">
        <x:v>259</x:v>
      </x:c>
      <x:c r="B117" s="3" t="s">
        <x:v>260</x:v>
      </x:c>
      <x:c r="C117" s="4" t="s">
        <x:v>366</x:v>
      </x:c>
      <x:c r="D117" s="5">
        <x:v>306</x:v>
      </x:c>
      <x:c r="E117" s="13">
        <x:v>10</x:v>
      </x:c>
      <x:c r="F117" s="13">
        <x:v>10</x:v>
      </x:c>
      <x:c r="G117" s="13">
        <x:v>10</x:v>
      </x:c>
      <x:c r="H117" s="13">
        <x:v>11</x:v>
      </x:c>
      <x:c r="I117" s="13">
        <x:v>12</x:v>
      </x:c>
      <x:c r="J117" s="13">
        <x:v>12</x:v>
      </x:c>
      <x:c r="K117" s="13">
        <x:v>12</x:v>
      </x:c>
      <x:c r="L117" s="13">
        <x:v>12</x:v>
      </x:c>
      <x:c r="M117" s="13">
        <x:v>12</x:v>
      </x:c>
      <x:c r="N117" s="13">
        <x:v>11</x:v>
      </x:c>
      <x:c r="O117" s="13">
        <x:v>11</x:v>
      </x:c>
      <x:c r="P117" s="13">
        <x:v>11</x:v>
      </x:c>
      <x:c r="Q117" s="13" t="n">
        <x:f t="shared" si="3">COUNT(E117:P117)</x:f>
        <x:v>12</x:v>
      </x:c>
      <x:c r="R117" s="13" t="n">
        <x:f t="shared" si="4">SUM(E117:P117)</x:f>
        <x:v>134</x:v>
      </x:c>
      <x:c r="S117" s="14" t="n">
        <x:f>IF(Q117&gt;0,R117/Q117,"")</x:f>
        <x:v>11.166666666666666</x:v>
      </x:c>
      <x:c r="T117" s="15">
        <x:v>1754520</x:v>
      </x:c>
      <x:c r="U117" s="15">
        <x:v>1531722</x:v>
      </x:c>
      <x:c r="V117" s="14">
        <x:v>29111823</x:v>
      </x:c>
      <x:c r="W117" s="14" t="n">
        <x:f>IF(AND(Q117&gt;0,S117&gt;0,V117&lt;&gt;""),V117/S117/Q117,"")</x:f>
        <x:v>217252.4104477612</x:v>
      </x:c>
      <x:c r="X117" s="3" t="s">
        <x:v>367</x:v>
      </x:c>
    </x:row>
    <x:row r="118">
      <x:c r="A118" s="12" t="s">
        <x:v>98</x:v>
      </x:c>
      <x:c r="B118" s="3" t="s">
        <x:v>99</x:v>
      </x:c>
      <x:c r="C118" s="4" t="s">
        <x:v>368</x:v>
      </x:c>
      <x:c r="D118" s="5">
        <x:v>306</x:v>
      </x:c>
      <x:c r="E118" s="13"/>
      <x:c r="F118" s="13"/>
      <x:c r="G118" s="13"/>
      <x:c r="H118" s="13">
        <x:v>3</x:v>
      </x:c>
      <x:c r="I118" s="13">
        <x:v>3</x:v>
      </x:c>
      <x:c r="J118" s="13">
        <x:v>4</x:v>
      </x:c>
      <x:c r="K118" s="13">
        <x:v>1</x:v>
      </x:c>
      <x:c r="L118" s="13">
        <x:v>1</x:v>
      </x:c>
      <x:c r="M118" s="13">
        <x:v>1</x:v>
      </x:c>
      <x:c r="N118" s="13"/>
      <x:c r="O118" s="13"/>
      <x:c r="P118" s="13"/>
      <x:c r="Q118" s="13" t="n">
        <x:f t="shared" si="3">COUNT(E118:P118)</x:f>
        <x:v>6</x:v>
      </x:c>
      <x:c r="R118" s="13" t="n">
        <x:f t="shared" si="4">SUM(E118:P118)</x:f>
        <x:v>13</x:v>
      </x:c>
      <x:c r="S118" s="14" t="n">
        <x:f>IF(Q118&gt;0,R118/Q118,"")</x:f>
        <x:v>2.1666666666666665</x:v>
      </x:c>
      <x:c r="T118" s="15">
        <x:v>114317</x:v>
      </x:c>
      <x:c r="U118" s="15">
        <x:v>146246</x:v>
      </x:c>
      <x:c r="V118" s="14">
        <x:v>2807027</x:v>
      </x:c>
      <x:c r="W118" s="14" t="n">
        <x:f>IF(AND(Q118&gt;0,S118&gt;0,V118&lt;&gt;""),V118/S118/Q118,"")</x:f>
        <x:v>215925.15384615387</x:v>
      </x:c>
      <x:c r="X118" s="3" t="s">
        <x:v>369</x:v>
      </x:c>
    </x:row>
    <x:row r="119">
      <x:c r="A119" s="12" t="s">
        <x:v>51</x:v>
      </x:c>
      <x:c r="B119" s="3" t="s">
        <x:v>52</x:v>
      </x:c>
      <x:c r="C119" s="4" t="s">
        <x:v>370</x:v>
      </x:c>
      <x:c r="D119" s="5">
        <x:v>306</x:v>
      </x:c>
      <x:c r="E119" s="13">
        <x:v>8</x:v>
      </x:c>
      <x:c r="F119" s="13">
        <x:v>11</x:v>
      </x:c>
      <x:c r="G119" s="13">
        <x:v>11</x:v>
      </x:c>
      <x:c r="H119" s="13">
        <x:v>11</x:v>
      </x:c>
      <x:c r="I119" s="13">
        <x:v>11</x:v>
      </x:c>
      <x:c r="J119" s="13">
        <x:v>11</x:v>
      </x:c>
      <x:c r="K119" s="13">
        <x:v>11</x:v>
      </x:c>
      <x:c r="L119" s="13">
        <x:v>11</x:v>
      </x:c>
      <x:c r="M119" s="13">
        <x:v>12</x:v>
      </x:c>
      <x:c r="N119" s="13">
        <x:v>12</x:v>
      </x:c>
      <x:c r="O119" s="13">
        <x:v>11</x:v>
      </x:c>
      <x:c r="P119" s="13">
        <x:v>12</x:v>
      </x:c>
      <x:c r="Q119" s="13" t="n">
        <x:f t="shared" si="3">COUNT(E119:P119)</x:f>
        <x:v>12</x:v>
      </x:c>
      <x:c r="R119" s="13" t="n">
        <x:f t="shared" si="4">SUM(E119:P119)</x:f>
        <x:v>132</x:v>
      </x:c>
      <x:c r="S119" s="14" t="n">
        <x:f>IF(Q119&gt;0,R119/Q119,"")</x:f>
        <x:v>11</x:v>
      </x:c>
      <x:c r="T119" s="15">
        <x:v>1676243</x:v>
      </x:c>
      <x:c r="U119" s="15">
        <x:v>0</x:v>
      </x:c>
      <x:c r="V119" s="14">
        <x:v>28215000</x:v>
      </x:c>
      <x:c r="W119" s="14" t="n">
        <x:f>IF(AND(Q119&gt;0,S119&gt;0,V119&lt;&gt;""),V119/S119/Q119,"")</x:f>
        <x:v>213750</x:v>
      </x:c>
      <x:c r="X119" s="3" t="s">
        <x:v>371</x:v>
      </x:c>
    </x:row>
    <x:row r="120">
      <x:c r="A120" s="12" t="s">
        <x:v>259</x:v>
      </x:c>
      <x:c r="B120" s="3" t="s">
        <x:v>260</x:v>
      </x:c>
      <x:c r="C120" s="4" t="s">
        <x:v>372</x:v>
      </x:c>
      <x:c r="D120" s="5">
        <x:v>306</x:v>
      </x:c>
      <x:c r="E120" s="13">
        <x:v>6</x:v>
      </x:c>
      <x:c r="F120" s="13">
        <x:v>6</x:v>
      </x:c>
      <x:c r="G120" s="13">
        <x:v>6</x:v>
      </x:c>
      <x:c r="H120" s="13">
        <x:v>6</x:v>
      </x:c>
      <x:c r="I120" s="13">
        <x:v>6</x:v>
      </x:c>
      <x:c r="J120" s="13">
        <x:v>6</x:v>
      </x:c>
      <x:c r="K120" s="13">
        <x:v>6</x:v>
      </x:c>
      <x:c r="L120" s="13">
        <x:v>6</x:v>
      </x:c>
      <x:c r="M120" s="13">
        <x:v>6</x:v>
      </x:c>
      <x:c r="N120" s="13">
        <x:v>6</x:v>
      </x:c>
      <x:c r="O120" s="13">
        <x:v>6</x:v>
      </x:c>
      <x:c r="P120" s="13">
        <x:v>6</x:v>
      </x:c>
      <x:c r="Q120" s="13" t="n">
        <x:f t="shared" si="3">COUNT(E120:P120)</x:f>
        <x:v>12</x:v>
      </x:c>
      <x:c r="R120" s="13" t="n">
        <x:f t="shared" si="4">SUM(E120:P120)</x:f>
        <x:v>72</x:v>
      </x:c>
      <x:c r="S120" s="14" t="n">
        <x:f>IF(Q120&gt;0,R120/Q120,"")</x:f>
        <x:v>6</x:v>
      </x:c>
      <x:c r="T120" s="15">
        <x:v>1007772</x:v>
      </x:c>
      <x:c r="U120" s="15">
        <x:v>814832</x:v>
      </x:c>
      <x:c r="V120" s="14">
        <x:v>15377240</x:v>
      </x:c>
      <x:c r="W120" s="14" t="n">
        <x:f>IF(AND(Q120&gt;0,S120&gt;0,V120&lt;&gt;""),V120/S120/Q120,"")</x:f>
        <x:v>213572.77777777778</x:v>
      </x:c>
      <x:c r="X120" s="3" t="s">
        <x:v>373</x:v>
      </x:c>
    </x:row>
    <x:row r="121">
      <x:c r="A121" s="12" t="s">
        <x:v>51</x:v>
      </x:c>
      <x:c r="B121" s="3" t="s">
        <x:v>52</x:v>
      </x:c>
      <x:c r="C121" s="4" t="s">
        <x:v>374</x:v>
      </x:c>
      <x:c r="D121" s="5">
        <x:v>306</x:v>
      </x:c>
      <x:c r="E121" s="13">
        <x:v>25</x:v>
      </x:c>
      <x:c r="F121" s="13">
        <x:v>28</x:v>
      </x:c>
      <x:c r="G121" s="13">
        <x:v>31</x:v>
      </x:c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 t="n">
        <x:f t="shared" si="3">COUNT(E121:P121)</x:f>
        <x:v>3</x:v>
      </x:c>
      <x:c r="R121" s="13" t="n">
        <x:f t="shared" si="4">SUM(E121:P121)</x:f>
        <x:v>84</x:v>
      </x:c>
      <x:c r="S121" s="14" t="n">
        <x:f>IF(Q121&gt;0,R121/Q121,"")</x:f>
        <x:v>28</x:v>
      </x:c>
      <x:c r="T121" s="15">
        <x:v>1157634</x:v>
      </x:c>
      <x:c r="U121" s="15">
        <x:v>970070</x:v>
      </x:c>
      <x:c r="V121" s="14">
        <x:v>17910000</x:v>
      </x:c>
      <x:c r="W121" s="14" t="n">
        <x:f>IF(AND(Q121&gt;0,S121&gt;0,V121&lt;&gt;""),V121/S121/Q121,"")</x:f>
        <x:v>213214.2857142857</x:v>
      </x:c>
      <x:c r="X121" s="3" t="s">
        <x:v>375</x:v>
      </x:c>
    </x:row>
    <x:row r="122">
      <x:c r="A122" s="12" t="s">
        <x:v>207</x:v>
      </x:c>
      <x:c r="B122" s="3" t="s">
        <x:v>376</x:v>
      </x:c>
      <x:c r="C122" s="4" t="s">
        <x:v>377</x:v>
      </x:c>
      <x:c r="D122" s="5">
        <x:v>306</x:v>
      </x:c>
      <x:c r="E122" s="13">
        <x:v>4</x:v>
      </x:c>
      <x:c r="F122" s="13">
        <x:v>4</x:v>
      </x:c>
      <x:c r="G122" s="13">
        <x:v>4</x:v>
      </x:c>
      <x:c r="H122" s="13">
        <x:v>4</x:v>
      </x:c>
      <x:c r="I122" s="13">
        <x:v>4</x:v>
      </x:c>
      <x:c r="J122" s="13">
        <x:v>4</x:v>
      </x:c>
      <x:c r="K122" s="13">
        <x:v>4</x:v>
      </x:c>
      <x:c r="L122" s="13">
        <x:v>4</x:v>
      </x:c>
      <x:c r="M122" s="13">
        <x:v>4</x:v>
      </x:c>
      <x:c r="N122" s="13">
        <x:v>4</x:v>
      </x:c>
      <x:c r="O122" s="13">
        <x:v>4</x:v>
      </x:c>
      <x:c r="P122" s="13">
        <x:v>4</x:v>
      </x:c>
      <x:c r="Q122" s="13" t="n">
        <x:f t="shared" si="3">COUNT(E122:P122)</x:f>
        <x:v>12</x:v>
      </x:c>
      <x:c r="R122" s="13" t="n">
        <x:f t="shared" si="4">SUM(E122:P122)</x:f>
        <x:v>48</x:v>
      </x:c>
      <x:c r="S122" s="14" t="n">
        <x:f>IF(Q122&gt;0,R122/Q122,"")</x:f>
        <x:v>4</x:v>
      </x:c>
      <x:c r="T122" s="15">
        <x:v>772230</x:v>
      </x:c>
      <x:c r="U122" s="15">
        <x:v>501103</x:v>
      </x:c>
      <x:c r="V122" s="14">
        <x:v>10185010</x:v>
      </x:c>
      <x:c r="W122" s="14" t="n">
        <x:f>IF(AND(Q122&gt;0,S122&gt;0,V122&lt;&gt;""),V122/S122/Q122,"")</x:f>
        <x:v>212187.70833333334</x:v>
      </x:c>
      <x:c r="X122" s="3" t="s">
        <x:v>378</x:v>
      </x:c>
    </x:row>
    <x:row r="123">
      <x:c r="A123" s="12" t="s">
        <x:v>350</x:v>
      </x:c>
      <x:c r="B123" s="3" t="s">
        <x:v>379</x:v>
      </x:c>
      <x:c r="C123" s="4" t="s">
        <x:v>380</x:v>
      </x:c>
      <x:c r="D123" s="5">
        <x:v>306</x:v>
      </x:c>
      <x:c r="E123" s="13">
        <x:v>10</x:v>
      </x:c>
      <x:c r="F123" s="13">
        <x:v>10</x:v>
      </x:c>
      <x:c r="G123" s="13">
        <x:v>10</x:v>
      </x:c>
      <x:c r="H123" s="13">
        <x:v>10</x:v>
      </x:c>
      <x:c r="I123" s="13">
        <x:v>10</x:v>
      </x:c>
      <x:c r="J123" s="13">
        <x:v>10</x:v>
      </x:c>
      <x:c r="K123" s="13">
        <x:v>7</x:v>
      </x:c>
      <x:c r="L123" s="13">
        <x:v>7</x:v>
      </x:c>
      <x:c r="M123" s="13">
        <x:v>7</x:v>
      </x:c>
      <x:c r="N123" s="13">
        <x:v>9</x:v>
      </x:c>
      <x:c r="O123" s="13">
        <x:v>9</x:v>
      </x:c>
      <x:c r="P123" s="13">
        <x:v>9</x:v>
      </x:c>
      <x:c r="Q123" s="13" t="n">
        <x:f t="shared" si="3">COUNT(E123:P123)</x:f>
        <x:v>12</x:v>
      </x:c>
      <x:c r="R123" s="13" t="n">
        <x:f t="shared" si="4">SUM(E123:P123)</x:f>
        <x:v>108</x:v>
      </x:c>
      <x:c r="S123" s="14" t="n">
        <x:f>IF(Q123&gt;0,R123/Q123,"")</x:f>
        <x:v>9</x:v>
      </x:c>
      <x:c r="T123" s="15">
        <x:v>1449222</x:v>
      </x:c>
      <x:c r="U123" s="15">
        <x:v>1206205</x:v>
      </x:c>
      <x:c r="V123" s="14">
        <x:v>22579941</x:v>
      </x:c>
      <x:c r="W123" s="14" t="n">
        <x:f>IF(AND(Q123&gt;0,S123&gt;0,V123&lt;&gt;""),V123/S123/Q123,"")</x:f>
        <x:v>209073.52777777778</x:v>
      </x:c>
      <x:c r="X123" s="3" t="s">
        <x:v>381</x:v>
      </x:c>
    </x:row>
    <x:row r="124">
      <x:c r="A124" s="12" t="s">
        <x:v>382</x:v>
      </x:c>
      <x:c r="B124" s="3" t="s">
        <x:v>383</x:v>
      </x:c>
      <x:c r="C124" s="4" t="s">
        <x:v>384</x:v>
      </x:c>
      <x:c r="D124" s="5">
        <x:v>306</x:v>
      </x:c>
      <x:c r="E124" s="13">
        <x:v>21</x:v>
      </x:c>
      <x:c r="F124" s="13">
        <x:v>21</x:v>
      </x:c>
      <x:c r="G124" s="13">
        <x:v>21</x:v>
      </x:c>
      <x:c r="H124" s="13">
        <x:v>22</x:v>
      </x:c>
      <x:c r="I124" s="13">
        <x:v>21</x:v>
      </x:c>
      <x:c r="J124" s="13">
        <x:v>21</x:v>
      </x:c>
      <x:c r="K124" s="13">
        <x:v>21</x:v>
      </x:c>
      <x:c r="L124" s="13">
        <x:v>20</x:v>
      </x:c>
      <x:c r="M124" s="13">
        <x:v>21</x:v>
      </x:c>
      <x:c r="N124" s="13">
        <x:v>21</x:v>
      </x:c>
      <x:c r="O124" s="13">
        <x:v>21</x:v>
      </x:c>
      <x:c r="P124" s="13">
        <x:v>21</x:v>
      </x:c>
      <x:c r="Q124" s="13" t="n">
        <x:f t="shared" si="3">COUNT(E124:P124)</x:f>
        <x:v>12</x:v>
      </x:c>
      <x:c r="R124" s="13" t="n">
        <x:f t="shared" si="4">SUM(E124:P124)</x:f>
        <x:v>252</x:v>
      </x:c>
      <x:c r="S124" s="14" t="n">
        <x:f>IF(Q124&gt;0,R124/Q124,"")</x:f>
        <x:v>21</x:v>
      </x:c>
      <x:c r="T124" s="15">
        <x:v>3538177</x:v>
      </x:c>
      <x:c r="U124" s="15">
        <x:v>3459467</x:v>
      </x:c>
      <x:c r="V124" s="14">
        <x:v>52600585</x:v>
      </x:c>
      <x:c r="W124" s="14" t="n">
        <x:f>IF(AND(Q124&gt;0,S124&gt;0,V124&lt;&gt;""),V124/S124/Q124,"")</x:f>
        <x:v>208732.48015873018</x:v>
      </x:c>
      <x:c r="X124" s="3" t="s">
        <x:v>385</x:v>
      </x:c>
    </x:row>
    <x:row r="125">
      <x:c r="A125" s="12" t="s">
        <x:v>236</x:v>
      </x:c>
      <x:c r="B125" s="3" t="s">
        <x:v>237</x:v>
      </x:c>
      <x:c r="C125" s="4" t="s">
        <x:v>386</x:v>
      </x:c>
      <x:c r="D125" s="5">
        <x:v>306</x:v>
      </x:c>
      <x:c r="E125" s="13">
        <x:v>52</x:v>
      </x:c>
      <x:c r="F125" s="13">
        <x:v>52</x:v>
      </x:c>
      <x:c r="G125" s="13">
        <x:v>52</x:v>
      </x:c>
      <x:c r="H125" s="13">
        <x:v>25</x:v>
      </x:c>
      <x:c r="I125" s="13">
        <x:v>26</x:v>
      </x:c>
      <x:c r="J125" s="13">
        <x:v>25</x:v>
      </x:c>
      <x:c r="K125" s="13">
        <x:v>25</x:v>
      </x:c>
      <x:c r="L125" s="13">
        <x:v>24</x:v>
      </x:c>
      <x:c r="M125" s="13">
        <x:v>26</x:v>
      </x:c>
      <x:c r="N125" s="13">
        <x:v>26</x:v>
      </x:c>
      <x:c r="O125" s="13">
        <x:v>25</x:v>
      </x:c>
      <x:c r="P125" s="13">
        <x:v>25</x:v>
      </x:c>
      <x:c r="Q125" s="13" t="n">
        <x:f t="shared" si="3">COUNT(E125:P125)</x:f>
        <x:v>12</x:v>
      </x:c>
      <x:c r="R125" s="13" t="n">
        <x:f t="shared" si="4">SUM(E125:P125)</x:f>
        <x:v>383</x:v>
      </x:c>
      <x:c r="S125" s="14" t="n">
        <x:f>IF(Q125&gt;0,R125/Q125,"")</x:f>
        <x:v>31.916666666666668</x:v>
      </x:c>
      <x:c r="T125" s="15">
        <x:v>4404063</x:v>
      </x:c>
      <x:c r="U125" s="15">
        <x:v>3924973</x:v>
      </x:c>
      <x:c r="V125" s="14">
        <x:v>78679545</x:v>
      </x:c>
      <x:c r="W125" s="14" t="n">
        <x:f>IF(AND(Q125&gt;0,S125&gt;0,V125&lt;&gt;""),V125/S125/Q125,"")</x:f>
        <x:v>205429.62140992167</x:v>
      </x:c>
      <x:c r="X125" s="3" t="s">
        <x:v>387</x:v>
      </x:c>
    </x:row>
    <x:row r="126">
      <x:c r="A126" s="12" t="s">
        <x:v>388</x:v>
      </x:c>
      <x:c r="B126" s="3" t="s">
        <x:v>389</x:v>
      </x:c>
      <x:c r="C126" s="4" t="s">
        <x:v>390</x:v>
      </x:c>
      <x:c r="D126" s="5">
        <x:v>306</x:v>
      </x:c>
      <x:c r="E126" s="13">
        <x:v>4</x:v>
      </x:c>
      <x:c r="F126" s="13">
        <x:v>4</x:v>
      </x:c>
      <x:c r="G126" s="13">
        <x:v>4</x:v>
      </x:c>
      <x:c r="H126" s="13">
        <x:v>4</x:v>
      </x:c>
      <x:c r="I126" s="13">
        <x:v>3</x:v>
      </x:c>
      <x:c r="J126" s="13">
        <x:v>3</x:v>
      </x:c>
      <x:c r="K126" s="13">
        <x:v>3</x:v>
      </x:c>
      <x:c r="L126" s="13">
        <x:v>3</x:v>
      </x:c>
      <x:c r="M126" s="13">
        <x:v>3</x:v>
      </x:c>
      <x:c r="N126" s="13">
        <x:v>3</x:v>
      </x:c>
      <x:c r="O126" s="13">
        <x:v>4</x:v>
      </x:c>
      <x:c r="P126" s="13">
        <x:v>4</x:v>
      </x:c>
      <x:c r="Q126" s="13" t="n">
        <x:f t="shared" si="3">COUNT(E126:P126)</x:f>
        <x:v>12</x:v>
      </x:c>
      <x:c r="R126" s="13" t="n">
        <x:f t="shared" si="4">SUM(E126:P126)</x:f>
        <x:v>42</x:v>
      </x:c>
      <x:c r="S126" s="14" t="n">
        <x:f>IF(Q126&gt;0,R126/Q126,"")</x:f>
        <x:v>3.5</x:v>
      </x:c>
      <x:c r="T126" s="15">
        <x:v>517155</x:v>
      </x:c>
      <x:c r="U126" s="15">
        <x:v>430543</x:v>
      </x:c>
      <x:c r="V126" s="14">
        <x:v>8563865</x:v>
      </x:c>
      <x:c r="W126" s="14" t="n">
        <x:f>IF(AND(Q126&gt;0,S126&gt;0,V126&lt;&gt;""),V126/S126/Q126,"")</x:f>
        <x:v>203901.5476190476</x:v>
      </x:c>
      <x:c r="X126" s="3" t="s">
        <x:v>391</x:v>
      </x:c>
    </x:row>
    <x:row r="127">
      <x:c r="A127" s="12" t="s">
        <x:v>25</x:v>
      </x:c>
      <x:c r="B127" s="3" t="s">
        <x:v>26</x:v>
      </x:c>
      <x:c r="C127" s="4" t="s">
        <x:v>392</x:v>
      </x:c>
      <x:c r="D127" s="5">
        <x:v>306</x:v>
      </x:c>
      <x:c r="E127" s="13">
        <x:v>18</x:v>
      </x:c>
      <x:c r="F127" s="13">
        <x:v>18</x:v>
      </x:c>
      <x:c r="G127" s="13">
        <x:v>18</x:v>
      </x:c>
      <x:c r="H127" s="13">
        <x:v>40</x:v>
      </x:c>
      <x:c r="I127" s="13">
        <x:v>40</x:v>
      </x:c>
      <x:c r="J127" s="13">
        <x:v>40</x:v>
      </x:c>
      <x:c r="K127" s="13">
        <x:v>20</x:v>
      </x:c>
      <x:c r="L127" s="13">
        <x:v>20</x:v>
      </x:c>
      <x:c r="M127" s="13">
        <x:v>20</x:v>
      </x:c>
      <x:c r="N127" s="13">
        <x:v>20</x:v>
      </x:c>
      <x:c r="O127" s="13">
        <x:v>20</x:v>
      </x:c>
      <x:c r="P127" s="13">
        <x:v>20</x:v>
      </x:c>
      <x:c r="Q127" s="13" t="n">
        <x:f t="shared" si="3">COUNT(E127:P127)</x:f>
        <x:v>12</x:v>
      </x:c>
      <x:c r="R127" s="13" t="n">
        <x:f t="shared" si="4">SUM(E127:P127)</x:f>
        <x:v>294</x:v>
      </x:c>
      <x:c r="S127" s="14" t="n">
        <x:f>IF(Q127&gt;0,R127/Q127,"")</x:f>
        <x:v>24.5</x:v>
      </x:c>
      <x:c r="T127" s="15">
        <x:v>3964004</x:v>
      </x:c>
      <x:c r="U127" s="15">
        <x:v>2924225</x:v>
      </x:c>
      <x:c r="V127" s="14">
        <x:v>59854274</x:v>
      </x:c>
      <x:c r="W127" s="14" t="n">
        <x:f>IF(AND(Q127&gt;0,S127&gt;0,V127&lt;&gt;""),V127/S127/Q127,"")</x:f>
        <x:v>203585.96598639456</x:v>
      </x:c>
      <x:c r="X127" s="3" t="s">
        <x:v>393</x:v>
      </x:c>
    </x:row>
    <x:row r="128">
      <x:c r="A128" s="12" t="s">
        <x:v>236</x:v>
      </x:c>
      <x:c r="B128" s="3" t="s">
        <x:v>237</x:v>
      </x:c>
      <x:c r="C128" s="4" t="s">
        <x:v>394</x:v>
      </x:c>
      <x:c r="D128" s="5">
        <x:v>306</x:v>
      </x:c>
      <x:c r="E128" s="13">
        <x:v>25</x:v>
      </x:c>
      <x:c r="F128" s="13">
        <x:v>26</x:v>
      </x:c>
      <x:c r="G128" s="13">
        <x:v>26</x:v>
      </x:c>
      <x:c r="H128" s="13">
        <x:v>26</x:v>
      </x:c>
      <x:c r="I128" s="13">
        <x:v>22</x:v>
      </x:c>
      <x:c r="J128" s="13">
        <x:v>21</x:v>
      </x:c>
      <x:c r="K128" s="13">
        <x:v>19</x:v>
      </x:c>
      <x:c r="L128" s="13">
        <x:v>20</x:v>
      </x:c>
      <x:c r="M128" s="13">
        <x:v>25</x:v>
      </x:c>
      <x:c r="N128" s="13">
        <x:v>24</x:v>
      </x:c>
      <x:c r="O128" s="13">
        <x:v>25</x:v>
      </x:c>
      <x:c r="P128" s="13">
        <x:v>25</x:v>
      </x:c>
      <x:c r="Q128" s="13" t="n">
        <x:f t="shared" si="3">COUNT(E128:P128)</x:f>
        <x:v>12</x:v>
      </x:c>
      <x:c r="R128" s="13" t="n">
        <x:f t="shared" si="4">SUM(E128:P128)</x:f>
        <x:v>284</x:v>
      </x:c>
      <x:c r="S128" s="14" t="n">
        <x:f>IF(Q128&gt;0,R128/Q128,"")</x:f>
        <x:v>23.666666666666668</x:v>
      </x:c>
      <x:c r="T128" s="15">
        <x:v>2396981</x:v>
      </x:c>
      <x:c r="U128" s="15">
        <x:v>2057465</x:v>
      </x:c>
      <x:c r="V128" s="14">
        <x:v>57636432</x:v>
      </x:c>
      <x:c r="W128" s="14" t="n">
        <x:f>IF(AND(Q128&gt;0,S128&gt;0,V128&lt;&gt;""),V128/S128/Q128,"")</x:f>
        <x:v>202945.18309859154</x:v>
      </x:c>
      <x:c r="X128" s="3" t="s">
        <x:v>395</x:v>
      </x:c>
    </x:row>
    <x:row r="129">
      <x:c r="A129" s="12" t="s">
        <x:v>236</x:v>
      </x:c>
      <x:c r="B129" s="3" t="s">
        <x:v>237</x:v>
      </x:c>
      <x:c r="C129" s="4" t="s">
        <x:v>396</x:v>
      </x:c>
      <x:c r="D129" s="5">
        <x:v>306</x:v>
      </x:c>
      <x:c r="E129" s="13">
        <x:v>20</x:v>
      </x:c>
      <x:c r="F129" s="13">
        <x:v>19</x:v>
      </x:c>
      <x:c r="G129" s="13">
        <x:v>3</x:v>
      </x:c>
      <x:c r="H129" s="13">
        <x:v>1</x:v>
      </x:c>
      <x:c r="I129" s="13">
        <x:v>1</x:v>
      </x:c>
      <x:c r="J129" s="13">
        <x:v>1</x:v>
      </x:c>
      <x:c r="K129" s="13"/>
      <x:c r="L129" s="13"/>
      <x:c r="M129" s="13"/>
      <x:c r="N129" s="13"/>
      <x:c r="O129" s="13"/>
      <x:c r="P129" s="13"/>
      <x:c r="Q129" s="13" t="n">
        <x:f t="shared" si="3">COUNT(E129:P129)</x:f>
        <x:v>6</x:v>
      </x:c>
      <x:c r="R129" s="13" t="n">
        <x:f t="shared" si="4">SUM(E129:P129)</x:f>
        <x:v>45</x:v>
      </x:c>
      <x:c r="S129" s="14" t="n">
        <x:f>IF(Q129&gt;0,R129/Q129,"")</x:f>
        <x:v>7.5</x:v>
      </x:c>
      <x:c r="T129" s="15">
        <x:v>599650</x:v>
      </x:c>
      <x:c r="U129" s="15">
        <x:v>498278</x:v>
      </x:c>
      <x:c r="V129" s="14">
        <x:v>9126697</x:v>
      </x:c>
      <x:c r="W129" s="14" t="n">
        <x:f>IF(AND(Q129&gt;0,S129&gt;0,V129&lt;&gt;""),V129/S129/Q129,"")</x:f>
        <x:v>202815.48888888888</x:v>
      </x:c>
      <x:c r="X129" s="3" t="s">
        <x:v>397</x:v>
      </x:c>
    </x:row>
    <x:row r="130">
      <x:c r="A130" s="12" t="s">
        <x:v>398</x:v>
      </x:c>
      <x:c r="B130" s="3" t="s">
        <x:v>399</x:v>
      </x:c>
      <x:c r="C130" s="4" t="s">
        <x:v>400</x:v>
      </x:c>
      <x:c r="D130" s="5">
        <x:v>306</x:v>
      </x:c>
      <x:c r="E130" s="13">
        <x:v>55</x:v>
      </x:c>
      <x:c r="F130" s="13">
        <x:v>55</x:v>
      </x:c>
      <x:c r="G130" s="13">
        <x:v>54</x:v>
      </x:c>
      <x:c r="H130" s="13">
        <x:v>156</x:v>
      </x:c>
      <x:c r="I130" s="13">
        <x:v>51</x:v>
      </x:c>
      <x:c r="J130" s="13">
        <x:v>47</x:v>
      </x:c>
      <x:c r="K130" s="13">
        <x:v>50</x:v>
      </x:c>
      <x:c r="L130" s="13">
        <x:v>54</x:v>
      </x:c>
      <x:c r="M130" s="13">
        <x:v>54</x:v>
      </x:c>
      <x:c r="N130" s="13">
        <x:v>51</x:v>
      </x:c>
      <x:c r="O130" s="13">
        <x:v>54</x:v>
      </x:c>
      <x:c r="P130" s="13">
        <x:v>54</x:v>
      </x:c>
      <x:c r="Q130" s="13" t="n">
        <x:f t="shared" si="3">COUNT(E130:P130)</x:f>
        <x:v>12</x:v>
      </x:c>
      <x:c r="R130" s="13" t="n">
        <x:f t="shared" si="4">SUM(E130:P130)</x:f>
        <x:v>735</x:v>
      </x:c>
      <x:c r="S130" s="14" t="n">
        <x:f>IF(Q130&gt;0,R130/Q130,"")</x:f>
        <x:v>61.25</x:v>
      </x:c>
      <x:c r="T130" s="15">
        <x:v>11183822</x:v>
      </x:c>
      <x:c r="U130" s="15">
        <x:v>0</x:v>
      </x:c>
      <x:c r="V130" s="14">
        <x:v>148186358</x:v>
      </x:c>
      <x:c r="W130" s="14" t="n">
        <x:f>IF(AND(Q130&gt;0,S130&gt;0,V130&lt;&gt;""),V130/S130/Q130,"")</x:f>
        <x:v>201614.0925170068</x:v>
      </x:c>
      <x:c r="X130" s="3" t="s">
        <x:v>401</x:v>
      </x:c>
    </x:row>
    <x:row r="131">
      <x:c r="A131" s="12" t="s">
        <x:v>402</x:v>
      </x:c>
      <x:c r="B131" s="3" t="s">
        <x:v>403</x:v>
      </x:c>
      <x:c r="C131" s="4" t="s">
        <x:v>404</x:v>
      </x:c>
      <x:c r="D131" s="5">
        <x:v>306</x:v>
      </x:c>
      <x:c r="E131" s="13">
        <x:v>3</x:v>
      </x:c>
      <x:c r="F131" s="13">
        <x:v>3</x:v>
      </x:c>
      <x:c r="G131" s="13">
        <x:v>3</x:v>
      </x:c>
      <x:c r="H131" s="13">
        <x:v>3</x:v>
      </x:c>
      <x:c r="I131" s="13">
        <x:v>3</x:v>
      </x:c>
      <x:c r="J131" s="13">
        <x:v>3</x:v>
      </x:c>
      <x:c r="K131" s="13">
        <x:v>3</x:v>
      </x:c>
      <x:c r="L131" s="13">
        <x:v>3</x:v>
      </x:c>
      <x:c r="M131" s="13">
        <x:v>3</x:v>
      </x:c>
      <x:c r="N131" s="13">
        <x:v>3</x:v>
      </x:c>
      <x:c r="O131" s="13">
        <x:v>3</x:v>
      </x:c>
      <x:c r="P131" s="13">
        <x:v>3</x:v>
      </x:c>
      <x:c r="Q131" s="13" t="n">
        <x:f t="shared" si="3">COUNT(E131:P131)</x:f>
        <x:v>12</x:v>
      </x:c>
      <x:c r="R131" s="13" t="n">
        <x:f t="shared" si="4">SUM(E131:P131)</x:f>
        <x:v>36</x:v>
      </x:c>
      <x:c r="S131" s="14" t="n">
        <x:f>IF(Q131&gt;0,R131/Q131,"")</x:f>
        <x:v>3</x:v>
      </x:c>
      <x:c r="T131" s="15">
        <x:v>351145</x:v>
      </x:c>
      <x:c r="U131" s="15">
        <x:v>375120</x:v>
      </x:c>
      <x:c r="V131" s="14">
        <x:v>7200000</x:v>
      </x:c>
      <x:c r="W131" s="14" t="n">
        <x:f>IF(AND(Q131&gt;0,S131&gt;0,V131&lt;&gt;""),V131/S131/Q131,"")</x:f>
        <x:v>200000</x:v>
      </x:c>
      <x:c r="X131" s="3" t="s">
        <x:v>405</x:v>
      </x:c>
    </x:row>
    <x:row r="132">
      <x:c r="A132" s="12" t="s">
        <x:v>98</x:v>
      </x:c>
      <x:c r="B132" s="3" t="s">
        <x:v>99</x:v>
      </x:c>
      <x:c r="C132" s="4" t="s">
        <x:v>406</x:v>
      </x:c>
      <x:c r="D132" s="5">
        <x:v>306</x:v>
      </x:c>
      <x:c r="E132" s="13"/>
      <x:c r="F132" s="13"/>
      <x:c r="G132" s="13"/>
      <x:c r="H132" s="13"/>
      <x:c r="I132" s="13"/>
      <x:c r="J132" s="13"/>
      <x:c r="K132" s="13"/>
      <x:c r="L132" s="13">
        <x:v>1</x:v>
      </x:c>
      <x:c r="M132" s="13">
        <x:v>1</x:v>
      </x:c>
      <x:c r="N132" s="13">
        <x:v>1</x:v>
      </x:c>
      <x:c r="O132" s="13">
        <x:v>1</x:v>
      </x:c>
      <x:c r="P132" s="13">
        <x:v>1</x:v>
      </x:c>
      <x:c r="Q132" s="13" t="n">
        <x:f t="shared" ref="Q132:Q195" si="5">COUNT(E132:P132)</x:f>
        <x:v>5</x:v>
      </x:c>
      <x:c r="R132" s="13" t="n">
        <x:f t="shared" ref="R132:R195" si="6">SUM(E132:P132)</x:f>
        <x:v>5</x:v>
      </x:c>
      <x:c r="S132" s="14" t="n">
        <x:f>IF(Q132&gt;0,R132/Q132,"")</x:f>
        <x:v>1</x:v>
      </x:c>
      <x:c r="T132" s="15">
        <x:v>62155</x:v>
      </x:c>
      <x:c r="U132" s="15">
        <x:v>52100</x:v>
      </x:c>
      <x:c r="V132" s="14">
        <x:v>1000000</x:v>
      </x:c>
      <x:c r="W132" s="14" t="n">
        <x:f>IF(AND(Q132&gt;0,S132&gt;0,V132&lt;&gt;""),V132/S132/Q132,"")</x:f>
        <x:v>200000</x:v>
      </x:c>
      <x:c r="X132" s="3" t="s">
        <x:v>407</x:v>
      </x:c>
    </x:row>
    <x:row r="133">
      <x:c r="A133" s="12" t="s">
        <x:v>408</x:v>
      </x:c>
      <x:c r="B133" s="3" t="s">
        <x:v>409</x:v>
      </x:c>
      <x:c r="C133" s="4" t="s">
        <x:v>410</x:v>
      </x:c>
      <x:c r="D133" s="5">
        <x:v>306</x:v>
      </x:c>
      <x:c r="E133" s="13">
        <x:v>6</x:v>
      </x:c>
      <x:c r="F133" s="13">
        <x:v>6</x:v>
      </x:c>
      <x:c r="G133" s="13">
        <x:v>6</x:v>
      </x:c>
      <x:c r="H133" s="13">
        <x:v>5</x:v>
      </x:c>
      <x:c r="I133" s="13">
        <x:v>5</x:v>
      </x:c>
      <x:c r="J133" s="13">
        <x:v>5</x:v>
      </x:c>
      <x:c r="K133" s="13">
        <x:v>-1</x:v>
      </x:c>
      <x:c r="L133" s="13">
        <x:v>-1</x:v>
      </x:c>
      <x:c r="M133" s="13">
        <x:v>-1</x:v>
      </x:c>
      <x:c r="N133" s="13">
        <x:v>-1</x:v>
      </x:c>
      <x:c r="O133" s="13">
        <x:v>-1</x:v>
      </x:c>
      <x:c r="P133" s="13">
        <x:v>-1</x:v>
      </x:c>
      <x:c r="Q133" s="13" t="n">
        <x:f t="shared" si="5">COUNT(E133:P133)</x:f>
        <x:v>12</x:v>
      </x:c>
      <x:c r="R133" s="13" t="n">
        <x:f t="shared" si="6">SUM(E133:P133)</x:f>
        <x:v>27</x:v>
      </x:c>
      <x:c r="S133" s="14" t="n">
        <x:f>IF(Q133&gt;0,R133/Q133,"")</x:f>
        <x:v>2.25</x:v>
      </x:c>
      <x:c r="T133" s="15">
        <x:v>14553</x:v>
      </x:c>
      <x:c r="U133" s="15">
        <x:v>260253</x:v>
      </x:c>
      <x:c r="V133" s="14">
        <x:v>5355000</x:v>
      </x:c>
      <x:c r="W133" s="14" t="n">
        <x:f>IF(AND(Q133&gt;0,S133&gt;0,V133&lt;&gt;""),V133/S133/Q133,"")</x:f>
        <x:v>198333.33333333334</x:v>
      </x:c>
      <x:c r="X133" s="3" t="s">
        <x:v>411</x:v>
      </x:c>
    </x:row>
    <x:row r="134">
      <x:c r="A134" s="12" t="s">
        <x:v>236</x:v>
      </x:c>
      <x:c r="B134" s="3" t="s">
        <x:v>237</x:v>
      </x:c>
      <x:c r="C134" s="4" t="s">
        <x:v>412</x:v>
      </x:c>
      <x:c r="D134" s="5">
        <x:v>306</x:v>
      </x:c>
      <x:c r="E134" s="13">
        <x:v>20</x:v>
      </x:c>
      <x:c r="F134" s="13">
        <x:v>20</x:v>
      </x:c>
      <x:c r="G134" s="13">
        <x:v>20</x:v>
      </x:c>
      <x:c r="H134" s="13">
        <x:v>20</x:v>
      </x:c>
      <x:c r="I134" s="13">
        <x:v>20</x:v>
      </x:c>
      <x:c r="J134" s="13">
        <x:v>20</x:v>
      </x:c>
      <x:c r="K134" s="13">
        <x:v>19</x:v>
      </x:c>
      <x:c r="L134" s="13">
        <x:v>19</x:v>
      </x:c>
      <x:c r="M134" s="13">
        <x:v>20</x:v>
      </x:c>
      <x:c r="N134" s="13">
        <x:v>20</x:v>
      </x:c>
      <x:c r="O134" s="13">
        <x:v>20</x:v>
      </x:c>
      <x:c r="P134" s="13">
        <x:v>21</x:v>
      </x:c>
      <x:c r="Q134" s="13" t="n">
        <x:f t="shared" si="5">COUNT(E134:P134)</x:f>
        <x:v>12</x:v>
      </x:c>
      <x:c r="R134" s="13" t="n">
        <x:f t="shared" si="6">SUM(E134:P134)</x:f>
        <x:v>239</x:v>
      </x:c>
      <x:c r="S134" s="14" t="n">
        <x:f>IF(Q134&gt;0,R134/Q134,"")</x:f>
        <x:v>19.916666666666668</x:v>
      </x:c>
      <x:c r="T134" s="15">
        <x:v>2647084</x:v>
      </x:c>
      <x:c r="U134" s="15">
        <x:v>2459554</x:v>
      </x:c>
      <x:c r="V134" s="14">
        <x:v>46962837</x:v>
      </x:c>
      <x:c r="W134" s="14" t="n">
        <x:f>IF(AND(Q134&gt;0,S134&gt;0,V134&lt;&gt;""),V134/S134/Q134,"")</x:f>
        <x:v>196497.2259414226</x:v>
      </x:c>
      <x:c r="X134" s="3" t="s">
        <x:v>413</x:v>
      </x:c>
    </x:row>
    <x:row r="135">
      <x:c r="A135" s="12" t="s">
        <x:v>51</x:v>
      </x:c>
      <x:c r="B135" s="3" t="s">
        <x:v>52</x:v>
      </x:c>
      <x:c r="C135" s="4" t="s">
        <x:v>414</x:v>
      </x:c>
      <x:c r="D135" s="5">
        <x:v>306</x:v>
      </x:c>
      <x:c r="E135" s="13">
        <x:v>10</x:v>
      </x:c>
      <x:c r="F135" s="13">
        <x:v>10</x:v>
      </x:c>
      <x:c r="G135" s="13">
        <x:v>10</x:v>
      </x:c>
      <x:c r="H135" s="13">
        <x:v>10</x:v>
      </x:c>
      <x:c r="I135" s="13">
        <x:v>10</x:v>
      </x:c>
      <x:c r="J135" s="13">
        <x:v>10</x:v>
      </x:c>
      <x:c r="K135" s="13">
        <x:v>10</x:v>
      </x:c>
      <x:c r="L135" s="13">
        <x:v>10</x:v>
      </x:c>
      <x:c r="M135" s="13">
        <x:v>11</x:v>
      </x:c>
      <x:c r="N135" s="13">
        <x:v>11</x:v>
      </x:c>
      <x:c r="O135" s="13">
        <x:v>10</x:v>
      </x:c>
      <x:c r="P135" s="13">
        <x:v>10</x:v>
      </x:c>
      <x:c r="Q135" s="13" t="n">
        <x:f t="shared" si="5">COUNT(E135:P135)</x:f>
        <x:v>12</x:v>
      </x:c>
      <x:c r="R135" s="13" t="n">
        <x:f t="shared" si="6">SUM(E135:P135)</x:f>
        <x:v>122</x:v>
      </x:c>
      <x:c r="S135" s="14" t="n">
        <x:f>IF(Q135&gt;0,R135/Q135,"")</x:f>
        <x:v>10.166666666666666</x:v>
      </x:c>
      <x:c r="T135" s="15">
        <x:v>1530283</x:v>
      </x:c>
      <x:c r="U135" s="15">
        <x:v>0</x:v>
      </x:c>
      <x:c r="V135" s="14">
        <x:v>23863560</x:v>
      </x:c>
      <x:c r="W135" s="14" t="n">
        <x:f>IF(AND(Q135&gt;0,S135&gt;0,V135&lt;&gt;""),V135/S135/Q135,"")</x:f>
        <x:v>195602.9508196721</x:v>
      </x:c>
      <x:c r="X135" s="3" t="s">
        <x:v>415</x:v>
      </x:c>
    </x:row>
    <x:row r="136">
      <x:c r="A136" s="12" t="s">
        <x:v>51</x:v>
      </x:c>
      <x:c r="B136" s="3" t="s">
        <x:v>52</x:v>
      </x:c>
      <x:c r="C136" s="4" t="s">
        <x:v>416</x:v>
      </x:c>
      <x:c r="D136" s="5">
        <x:v>306</x:v>
      </x:c>
      <x:c r="E136" s="13">
        <x:v>3</x:v>
      </x:c>
      <x:c r="F136" s="13">
        <x:v>3</x:v>
      </x:c>
      <x:c r="G136" s="13">
        <x:v>3</x:v>
      </x:c>
      <x:c r="H136" s="13">
        <x:v>3</x:v>
      </x:c>
      <x:c r="I136" s="13">
        <x:v>2</x:v>
      </x:c>
      <x:c r="J136" s="13">
        <x:v>2</x:v>
      </x:c>
      <x:c r="K136" s="13">
        <x:v>3</x:v>
      </x:c>
      <x:c r="L136" s="13">
        <x:v>2</x:v>
      </x:c>
      <x:c r="M136" s="13">
        <x:v>2</x:v>
      </x:c>
      <x:c r="N136" s="13">
        <x:v>2</x:v>
      </x:c>
      <x:c r="O136" s="13">
        <x:v>1</x:v>
      </x:c>
      <x:c r="P136" s="13">
        <x:v>1</x:v>
      </x:c>
      <x:c r="Q136" s="13" t="n">
        <x:f t="shared" si="5">COUNT(E136:P136)</x:f>
        <x:v>12</x:v>
      </x:c>
      <x:c r="R136" s="13" t="n">
        <x:f t="shared" si="6">SUM(E136:P136)</x:f>
        <x:v>27</x:v>
      </x:c>
      <x:c r="S136" s="14" t="n">
        <x:f>IF(Q136&gt;0,R136/Q136,"")</x:f>
        <x:v>2.25</x:v>
      </x:c>
      <x:c r="T136" s="15">
        <x:v>300739</x:v>
      </x:c>
      <x:c r="U136" s="15">
        <x:v>269804</x:v>
      </x:c>
      <x:c r="V136" s="14">
        <x:v>5270000</x:v>
      </x:c>
      <x:c r="W136" s="14" t="n">
        <x:f>IF(AND(Q136&gt;0,S136&gt;0,V136&lt;&gt;""),V136/S136/Q136,"")</x:f>
        <x:v>195185.18518518517</x:v>
      </x:c>
      <x:c r="X136" s="3" t="s">
        <x:v>417</x:v>
      </x:c>
    </x:row>
    <x:row r="137">
      <x:c r="A137" s="12" t="s">
        <x:v>418</x:v>
      </x:c>
      <x:c r="B137" s="3" t="s">
        <x:v>419</x:v>
      </x:c>
      <x:c r="C137" s="4" t="s">
        <x:v>420</x:v>
      </x:c>
      <x:c r="D137" s="5">
        <x:v>306</x:v>
      </x:c>
      <x:c r="E137" s="13">
        <x:v>54</x:v>
      </x:c>
      <x:c r="F137" s="13">
        <x:v>51</x:v>
      </x:c>
      <x:c r="G137" s="13">
        <x:v>54</x:v>
      </x:c>
      <x:c r="H137" s="13">
        <x:v>52</x:v>
      </x:c>
      <x:c r="I137" s="13">
        <x:v>52</x:v>
      </x:c>
      <x:c r="J137" s="13">
        <x:v>43</x:v>
      </x:c>
      <x:c r="K137" s="13">
        <x:v>37</x:v>
      </x:c>
      <x:c r="L137" s="13">
        <x:v>40</x:v>
      </x:c>
      <x:c r="M137" s="13">
        <x:v>53</x:v>
      </x:c>
      <x:c r="N137" s="13">
        <x:v>56</x:v>
      </x:c>
      <x:c r="O137" s="13">
        <x:v>56</x:v>
      </x:c>
      <x:c r="P137" s="13">
        <x:v>56</x:v>
      </x:c>
      <x:c r="Q137" s="13" t="n">
        <x:f t="shared" si="5">COUNT(E137:P137)</x:f>
        <x:v>12</x:v>
      </x:c>
      <x:c r="R137" s="13" t="n">
        <x:f t="shared" si="6">SUM(E137:P137)</x:f>
        <x:v>604</x:v>
      </x:c>
      <x:c r="S137" s="14" t="n">
        <x:f>IF(Q137&gt;0,R137/Q137,"")</x:f>
        <x:v>50.333333333333336</x:v>
      </x:c>
      <x:c r="T137" s="15">
        <x:v>6812854</x:v>
      </x:c>
      <x:c r="U137" s="15">
        <x:v>5422724</x:v>
      </x:c>
      <x:c r="V137" s="14">
        <x:v>117114229</x:v>
      </x:c>
      <x:c r="W137" s="14" t="n">
        <x:f>IF(AND(Q137&gt;0,S137&gt;0,V137&lt;&gt;""),V137/S137/Q137,"")</x:f>
        <x:v>193897.73013245032</x:v>
      </x:c>
      <x:c r="X137" s="3" t="s">
        <x:v>421</x:v>
      </x:c>
    </x:row>
    <x:row r="138">
      <x:c r="A138" s="12" t="s">
        <x:v>296</x:v>
      </x:c>
      <x:c r="B138" s="3" t="s">
        <x:v>297</x:v>
      </x:c>
      <x:c r="C138" s="4" t="s">
        <x:v>422</x:v>
      </x:c>
      <x:c r="D138" s="5">
        <x:v>306</x:v>
      </x:c>
      <x:c r="E138" s="13">
        <x:v>13</x:v>
      </x:c>
      <x:c r="F138" s="13">
        <x:v>15</x:v>
      </x:c>
      <x:c r="G138" s="13">
        <x:v>13</x:v>
      </x:c>
      <x:c r="H138" s="13">
        <x:v>13</x:v>
      </x:c>
      <x:c r="I138" s="13">
        <x:v>13</x:v>
      </x:c>
      <x:c r="J138" s="13">
        <x:v>13</x:v>
      </x:c>
      <x:c r="K138" s="13">
        <x:v>13</x:v>
      </x:c>
      <x:c r="L138" s="13">
        <x:v>13</x:v>
      </x:c>
      <x:c r="M138" s="13">
        <x:v>13</x:v>
      </x:c>
      <x:c r="N138" s="13">
        <x:v>14</x:v>
      </x:c>
      <x:c r="O138" s="13">
        <x:v>15</x:v>
      </x:c>
      <x:c r="P138" s="13">
        <x:v>13</x:v>
      </x:c>
      <x:c r="Q138" s="13" t="n">
        <x:f t="shared" si="5">COUNT(E138:P138)</x:f>
        <x:v>12</x:v>
      </x:c>
      <x:c r="R138" s="13" t="n">
        <x:f t="shared" si="6">SUM(E138:P138)</x:f>
        <x:v>161</x:v>
      </x:c>
      <x:c r="S138" s="14" t="n">
        <x:f>IF(Q138&gt;0,R138/Q138,"")</x:f>
        <x:v>13.416666666666666</x:v>
      </x:c>
      <x:c r="T138" s="15">
        <x:v>2050856</x:v>
      </x:c>
      <x:c r="U138" s="15">
        <x:v>1618259</x:v>
      </x:c>
      <x:c r="V138" s="14">
        <x:v>31097012</x:v>
      </x:c>
      <x:c r="W138" s="14" t="n">
        <x:f>IF(AND(Q138&gt;0,S138&gt;0,V138&lt;&gt;""),V138/S138/Q138,"")</x:f>
        <x:v>193149.14285714287</x:v>
      </x:c>
      <x:c r="X138" s="3" t="s">
        <x:v>423</x:v>
      </x:c>
    </x:row>
    <x:row r="139">
      <x:c r="A139" s="12" t="s">
        <x:v>259</x:v>
      </x:c>
      <x:c r="B139" s="3" t="s">
        <x:v>260</x:v>
      </x:c>
      <x:c r="C139" s="4" t="s">
        <x:v>424</x:v>
      </x:c>
      <x:c r="D139" s="5">
        <x:v>306</x:v>
      </x:c>
      <x:c r="E139" s="13">
        <x:v>14</x:v>
      </x:c>
      <x:c r="F139" s="13">
        <x:v>14</x:v>
      </x:c>
      <x:c r="G139" s="13">
        <x:v>14</x:v>
      </x:c>
      <x:c r="H139" s="13">
        <x:v>13</x:v>
      </x:c>
      <x:c r="I139" s="13">
        <x:v>12</x:v>
      </x:c>
      <x:c r="J139" s="13">
        <x:v>10</x:v>
      </x:c>
      <x:c r="K139" s="13">
        <x:v>10</x:v>
      </x:c>
      <x:c r="L139" s="13">
        <x:v>10</x:v>
      </x:c>
      <x:c r="M139" s="13">
        <x:v>9</x:v>
      </x:c>
      <x:c r="N139" s="13">
        <x:v>12</x:v>
      </x:c>
      <x:c r="O139" s="13">
        <x:v>13</x:v>
      </x:c>
      <x:c r="P139" s="13">
        <x:v>12</x:v>
      </x:c>
      <x:c r="Q139" s="13" t="n">
        <x:f t="shared" si="5">COUNT(E139:P139)</x:f>
        <x:v>12</x:v>
      </x:c>
      <x:c r="R139" s="13" t="n">
        <x:f t="shared" si="6">SUM(E139:P139)</x:f>
        <x:v>143</x:v>
      </x:c>
      <x:c r="S139" s="14" t="n">
        <x:f>IF(Q139&gt;0,R139/Q139,"")</x:f>
        <x:v>11.916666666666666</x:v>
      </x:c>
      <x:c r="T139" s="15">
        <x:v>1495672</x:v>
      </x:c>
      <x:c r="U139" s="15">
        <x:v>1421822</x:v>
      </x:c>
      <x:c r="V139" s="14">
        <x:v>27389901</x:v>
      </x:c>
      <x:c r="W139" s="14" t="n">
        <x:f>IF(AND(Q139&gt;0,S139&gt;0,V139&lt;&gt;""),V139/S139/Q139,"")</x:f>
        <x:v>191537.76923076925</x:v>
      </x:c>
      <x:c r="X139" s="3" t="s">
        <x:v>425</x:v>
      </x:c>
    </x:row>
    <x:row r="140">
      <x:c r="A140" s="12" t="s">
        <x:v>426</x:v>
      </x:c>
      <x:c r="B140" s="3" t="s">
        <x:v>427</x:v>
      </x:c>
      <x:c r="C140" s="4" t="s">
        <x:v>428</x:v>
      </x:c>
      <x:c r="D140" s="5">
        <x:v>306</x:v>
      </x:c>
      <x:c r="E140" s="13">
        <x:v>40</x:v>
      </x:c>
      <x:c r="F140" s="13">
        <x:v>39</x:v>
      </x:c>
      <x:c r="G140" s="13">
        <x:v>39</x:v>
      </x:c>
      <x:c r="H140" s="13">
        <x:v>40</x:v>
      </x:c>
      <x:c r="I140" s="13">
        <x:v>39</x:v>
      </x:c>
      <x:c r="J140" s="13">
        <x:v>39</x:v>
      </x:c>
      <x:c r="K140" s="13">
        <x:v>37</x:v>
      </x:c>
      <x:c r="L140" s="13">
        <x:v>35</x:v>
      </x:c>
      <x:c r="M140" s="13">
        <x:v>37</x:v>
      </x:c>
      <x:c r="N140" s="13">
        <x:v>36</x:v>
      </x:c>
      <x:c r="O140" s="13">
        <x:v>35</x:v>
      </x:c>
      <x:c r="P140" s="13">
        <x:v>34</x:v>
      </x:c>
      <x:c r="Q140" s="13" t="n">
        <x:f t="shared" si="5">COUNT(E140:P140)</x:f>
        <x:v>12</x:v>
      </x:c>
      <x:c r="R140" s="13" t="n">
        <x:f t="shared" si="6">SUM(E140:P140)</x:f>
        <x:v>450</x:v>
      </x:c>
      <x:c r="S140" s="14" t="n">
        <x:f>IF(Q140&gt;0,R140/Q140,"")</x:f>
        <x:v>37.5</x:v>
      </x:c>
      <x:c r="T140" s="15">
        <x:v>5012851</x:v>
      </x:c>
      <x:c r="U140" s="15">
        <x:v>4588637</x:v>
      </x:c>
      <x:c r="V140" s="14">
        <x:v>86163709</x:v>
      </x:c>
      <x:c r="W140" s="14" t="n">
        <x:f>IF(AND(Q140&gt;0,S140&gt;0,V140&lt;&gt;""),V140/S140/Q140,"")</x:f>
        <x:v>191474.9088888889</x:v>
      </x:c>
      <x:c r="X140" s="3" t="s">
        <x:v>429</x:v>
      </x:c>
    </x:row>
    <x:row r="141">
      <x:c r="A141" s="12" t="s">
        <x:v>63</x:v>
      </x:c>
      <x:c r="B141" s="3" t="s">
        <x:v>64</x:v>
      </x:c>
      <x:c r="C141" s="4" t="s">
        <x:v>430</x:v>
      </x:c>
      <x:c r="D141" s="5">
        <x:v>306</x:v>
      </x:c>
      <x:c r="E141" s="13">
        <x:v>188</x:v>
      </x:c>
      <x:c r="F141" s="13">
        <x:v>206</x:v>
      </x:c>
      <x:c r="G141" s="13">
        <x:v>210</x:v>
      </x:c>
      <x:c r="H141" s="13">
        <x:v>194</x:v>
      </x:c>
      <x:c r="I141" s="13">
        <x:v>194</x:v>
      </x:c>
      <x:c r="J141" s="13">
        <x:v>182</x:v>
      </x:c>
      <x:c r="K141" s="13">
        <x:v>174</x:v>
      </x:c>
      <x:c r="L141" s="13">
        <x:v>173</x:v>
      </x:c>
      <x:c r="M141" s="13">
        <x:v>137</x:v>
      </x:c>
      <x:c r="N141" s="13">
        <x:v>146</x:v>
      </x:c>
      <x:c r="O141" s="13">
        <x:v>166</x:v>
      </x:c>
      <x:c r="P141" s="13">
        <x:v>141</x:v>
      </x:c>
      <x:c r="Q141" s="13" t="n">
        <x:f t="shared" si="5">COUNT(E141:P141)</x:f>
        <x:v>12</x:v>
      </x:c>
      <x:c r="R141" s="13" t="n">
        <x:f t="shared" si="6">SUM(E141:P141)</x:f>
        <x:v>2111</x:v>
      </x:c>
      <x:c r="S141" s="14" t="n">
        <x:f>IF(Q141&gt;0,R141/Q141,"")</x:f>
        <x:v>175.91666666666666</x:v>
      </x:c>
      <x:c r="T141" s="15">
        <x:v>23780245</x:v>
      </x:c>
      <x:c r="U141" s="15">
        <x:v>23047826</x:v>
      </x:c>
      <x:c r="V141" s="14">
        <x:v>402125849</x:v>
      </x:c>
      <x:c r="W141" s="14" t="n">
        <x:f>IF(AND(Q141&gt;0,S141&gt;0,V141&lt;&gt;""),V141/S141/Q141,"")</x:f>
        <x:v>190490.69114163905</x:v>
      </x:c>
      <x:c r="X141" s="3" t="s">
        <x:v>431</x:v>
      </x:c>
    </x:row>
    <x:row r="142">
      <x:c r="A142" s="12" t="s">
        <x:v>259</x:v>
      </x:c>
      <x:c r="B142" s="3" t="s">
        <x:v>260</x:v>
      </x:c>
      <x:c r="C142" s="4" t="s">
        <x:v>432</x:v>
      </x:c>
      <x:c r="D142" s="5">
        <x:v>306</x:v>
      </x:c>
      <x:c r="E142" s="13">
        <x:v>16</x:v>
      </x:c>
      <x:c r="F142" s="13">
        <x:v>17</x:v>
      </x:c>
      <x:c r="G142" s="13">
        <x:v>15</x:v>
      </x:c>
      <x:c r="H142" s="13">
        <x:v>15</x:v>
      </x:c>
      <x:c r="I142" s="13">
        <x:v>14</x:v>
      </x:c>
      <x:c r="J142" s="13">
        <x:v>14</x:v>
      </x:c>
      <x:c r="K142" s="13">
        <x:v>14</x:v>
      </x:c>
      <x:c r="L142" s="13">
        <x:v>14</x:v>
      </x:c>
      <x:c r="M142" s="13">
        <x:v>14</x:v>
      </x:c>
      <x:c r="N142" s="13">
        <x:v>16</x:v>
      </x:c>
      <x:c r="O142" s="13">
        <x:v>16</x:v>
      </x:c>
      <x:c r="P142" s="13">
        <x:v>16</x:v>
      </x:c>
      <x:c r="Q142" s="13" t="n">
        <x:f t="shared" si="5">COUNT(E142:P142)</x:f>
        <x:v>12</x:v>
      </x:c>
      <x:c r="R142" s="13" t="n">
        <x:f t="shared" si="6">SUM(E142:P142)</x:f>
        <x:v>181</x:v>
      </x:c>
      <x:c r="S142" s="14" t="n">
        <x:f>IF(Q142&gt;0,R142/Q142,"")</x:f>
        <x:v>15.083333333333334</x:v>
      </x:c>
      <x:c r="T142" s="15">
        <x:v>2132612</x:v>
      </x:c>
      <x:c r="U142" s="15">
        <x:v>1884631</x:v>
      </x:c>
      <x:c r="V142" s="14">
        <x:v>34430866</x:v>
      </x:c>
      <x:c r="W142" s="14" t="n">
        <x:f>IF(AND(Q142&gt;0,S142&gt;0,V142&lt;&gt;""),V142/S142/Q142,"")</x:f>
        <x:v>190225.77900552485</x:v>
      </x:c>
      <x:c r="X142" s="3" t="s">
        <x:v>433</x:v>
      </x:c>
    </x:row>
    <x:row r="143">
      <x:c r="A143" s="12" t="s">
        <x:v>154</x:v>
      </x:c>
      <x:c r="B143" s="3" t="s">
        <x:v>155</x:v>
      </x:c>
      <x:c r="C143" s="4" t="s">
        <x:v>434</x:v>
      </x:c>
      <x:c r="D143" s="5">
        <x:v>306</x:v>
      </x:c>
      <x:c r="E143" s="13">
        <x:v>23</x:v>
      </x:c>
      <x:c r="F143" s="13">
        <x:v>22</x:v>
      </x:c>
      <x:c r="G143" s="13">
        <x:v>22</x:v>
      </x:c>
      <x:c r="H143" s="13">
        <x:v>23</x:v>
      </x:c>
      <x:c r="I143" s="13">
        <x:v>22</x:v>
      </x:c>
      <x:c r="J143" s="13">
        <x:v>21</x:v>
      </x:c>
      <x:c r="K143" s="13">
        <x:v>13</x:v>
      </x:c>
      <x:c r="L143" s="13">
        <x:v>18</x:v>
      </x:c>
      <x:c r="M143" s="13">
        <x:v>25</x:v>
      </x:c>
      <x:c r="N143" s="13">
        <x:v>25</x:v>
      </x:c>
      <x:c r="O143" s="13">
        <x:v>25</x:v>
      </x:c>
      <x:c r="P143" s="13">
        <x:v>25</x:v>
      </x:c>
      <x:c r="Q143" s="13" t="n">
        <x:f t="shared" si="5">COUNT(E143:P143)</x:f>
        <x:v>12</x:v>
      </x:c>
      <x:c r="R143" s="13" t="n">
        <x:f t="shared" si="6">SUM(E143:P143)</x:f>
        <x:v>264</x:v>
      </x:c>
      <x:c r="S143" s="14" t="n">
        <x:f>IF(Q143&gt;0,R143/Q143,"")</x:f>
        <x:v>22</x:v>
      </x:c>
      <x:c r="T143" s="15">
        <x:v>2866507</x:v>
      </x:c>
      <x:c r="U143" s="15">
        <x:v>2702839</x:v>
      </x:c>
      <x:c r="V143" s="14">
        <x:v>49116464</x:v>
      </x:c>
      <x:c r="W143" s="14" t="n">
        <x:f>IF(AND(Q143&gt;0,S143&gt;0,V143&lt;&gt;""),V143/S143/Q143,"")</x:f>
        <x:v>186047.21212121213</x:v>
      </x:c>
      <x:c r="X143" s="3" t="s">
        <x:v>435</x:v>
      </x:c>
    </x:row>
    <x:row r="144">
      <x:c r="A144" s="12" t="s">
        <x:v>322</x:v>
      </x:c>
      <x:c r="B144" s="3" t="s">
        <x:v>436</x:v>
      </x:c>
      <x:c r="C144" s="4" t="s">
        <x:v>437</x:v>
      </x:c>
      <x:c r="D144" s="5">
        <x:v>306</x:v>
      </x:c>
      <x:c r="E144" s="13">
        <x:v>30</x:v>
      </x:c>
      <x:c r="F144" s="13">
        <x:v>29</x:v>
      </x:c>
      <x:c r="G144" s="13">
        <x:v>29</x:v>
      </x:c>
      <x:c r="H144" s="13">
        <x:v>18</x:v>
      </x:c>
      <x:c r="I144" s="13">
        <x:v>17</x:v>
      </x:c>
      <x:c r="J144" s="13">
        <x:v>15</x:v>
      </x:c>
      <x:c r="K144" s="13">
        <x:v>14</x:v>
      </x:c>
      <x:c r="L144" s="13">
        <x:v>14</x:v>
      </x:c>
      <x:c r="M144" s="13">
        <x:v>15</x:v>
      </x:c>
      <x:c r="N144" s="13"/>
      <x:c r="O144" s="13"/>
      <x:c r="P144" s="13"/>
      <x:c r="Q144" s="13" t="n">
        <x:f t="shared" si="5">COUNT(E144:P144)</x:f>
        <x:v>9</x:v>
      </x:c>
      <x:c r="R144" s="13" t="n">
        <x:f t="shared" si="6">SUM(E144:P144)</x:f>
        <x:v>181</x:v>
      </x:c>
      <x:c r="S144" s="14" t="n">
        <x:f>IF(Q144&gt;0,R144/Q144,"")</x:f>
        <x:v>20.11111111111111</x:v>
      </x:c>
      <x:c r="T144" s="15">
        <x:v>1914160</x:v>
      </x:c>
      <x:c r="U144" s="15">
        <x:v>1696017</x:v>
      </x:c>
      <x:c r="V144" s="14">
        <x:v>33627870</x:v>
      </x:c>
      <x:c r="W144" s="14" t="n">
        <x:f>IF(AND(Q144&gt;0,S144&gt;0,V144&lt;&gt;""),V144/S144/Q144,"")</x:f>
        <x:v>185789.3370165746</x:v>
      </x:c>
      <x:c r="X144" s="3" t="s">
        <x:v>438</x:v>
      </x:c>
    </x:row>
    <x:row r="145">
      <x:c r="A145" s="12" t="s">
        <x:v>439</x:v>
      </x:c>
      <x:c r="B145" s="3" t="s">
        <x:v>440</x:v>
      </x:c>
      <x:c r="C145" s="4" t="s">
        <x:v>441</x:v>
      </x:c>
      <x:c r="D145" s="5">
        <x:v>306</x:v>
      </x:c>
      <x:c r="E145" s="13">
        <x:v>39</x:v>
      </x:c>
      <x:c r="F145" s="13">
        <x:v>39</x:v>
      </x:c>
      <x:c r="G145" s="13">
        <x:v>39</x:v>
      </x:c>
      <x:c r="H145" s="13">
        <x:v>40</x:v>
      </x:c>
      <x:c r="I145" s="13">
        <x:v>40</x:v>
      </x:c>
      <x:c r="J145" s="13">
        <x:v>40</x:v>
      </x:c>
      <x:c r="K145" s="13">
        <x:v>40</x:v>
      </x:c>
      <x:c r="L145" s="13">
        <x:v>40</x:v>
      </x:c>
      <x:c r="M145" s="13">
        <x:v>41</x:v>
      </x:c>
      <x:c r="N145" s="13">
        <x:v>38</x:v>
      </x:c>
      <x:c r="O145" s="13">
        <x:v>38</x:v>
      </x:c>
      <x:c r="P145" s="13">
        <x:v>38</x:v>
      </x:c>
      <x:c r="Q145" s="13" t="n">
        <x:f t="shared" si="5">COUNT(E145:P145)</x:f>
        <x:v>12</x:v>
      </x:c>
      <x:c r="R145" s="13" t="n">
        <x:f t="shared" si="6">SUM(E145:P145)</x:f>
        <x:v>472</x:v>
      </x:c>
      <x:c r="S145" s="14" t="n">
        <x:f>IF(Q145&gt;0,R145/Q145,"")</x:f>
        <x:v>39.333333333333336</x:v>
      </x:c>
      <x:c r="T145" s="15">
        <x:v>5183332</x:v>
      </x:c>
      <x:c r="U145" s="15">
        <x:v>2785329</x:v>
      </x:c>
      <x:c r="V145" s="14">
        <x:v>86390268</x:v>
      </x:c>
      <x:c r="W145" s="14" t="n">
        <x:f>IF(AND(Q145&gt;0,S145&gt;0,V145&lt;&gt;""),V145/S145/Q145,"")</x:f>
        <x:v>183030.2288135593</x:v>
      </x:c>
      <x:c r="X145" s="3" t="s">
        <x:v>442</x:v>
      </x:c>
    </x:row>
    <x:row r="146">
      <x:c r="A146" s="12" t="s">
        <x:v>71</x:v>
      </x:c>
      <x:c r="B146" s="3" t="s">
        <x:v>72</x:v>
      </x:c>
      <x:c r="C146" s="4" t="s">
        <x:v>443</x:v>
      </x:c>
      <x:c r="D146" s="5">
        <x:v>306</x:v>
      </x:c>
      <x:c r="E146" s="13">
        <x:v>41</x:v>
      </x:c>
      <x:c r="F146" s="13">
        <x:v>47</x:v>
      </x:c>
      <x:c r="G146" s="13">
        <x:v>49</x:v>
      </x:c>
      <x:c r="H146" s="13">
        <x:v>46</x:v>
      </x:c>
      <x:c r="I146" s="13">
        <x:v>48</x:v>
      </x:c>
      <x:c r="J146" s="13">
        <x:v>46</x:v>
      </x:c>
      <x:c r="K146" s="13">
        <x:v>50</x:v>
      </x:c>
      <x:c r="L146" s="13">
        <x:v>47</x:v>
      </x:c>
      <x:c r="M146" s="13">
        <x:v>47</x:v>
      </x:c>
      <x:c r="N146" s="13">
        <x:v>47</x:v>
      </x:c>
      <x:c r="O146" s="13">
        <x:v>46</x:v>
      </x:c>
      <x:c r="P146" s="13">
        <x:v>45</x:v>
      </x:c>
      <x:c r="Q146" s="13" t="n">
        <x:f t="shared" si="5">COUNT(E146:P146)</x:f>
        <x:v>12</x:v>
      </x:c>
      <x:c r="R146" s="13" t="n">
        <x:f t="shared" si="6">SUM(E146:P146)</x:f>
        <x:v>559</x:v>
      </x:c>
      <x:c r="S146" s="14" t="n">
        <x:f>IF(Q146&gt;0,R146/Q146,"")</x:f>
        <x:v>46.583333333333336</x:v>
      </x:c>
      <x:c r="T146" s="15">
        <x:v>6290845</x:v>
      </x:c>
      <x:c r="U146" s="15">
        <x:v>5566725</x:v>
      </x:c>
      <x:c r="V146" s="14">
        <x:v>101974687</x:v>
      </x:c>
      <x:c r="W146" s="14" t="n">
        <x:f>IF(AND(Q146&gt;0,S146&gt;0,V146&lt;&gt;""),V146/S146/Q146,"")</x:f>
        <x:v>182423.41144901607</x:v>
      </x:c>
      <x:c r="X146" s="3" t="s">
        <x:v>444</x:v>
      </x:c>
    </x:row>
    <x:row r="147">
      <x:c r="A147" s="12" t="s">
        <x:v>445</x:v>
      </x:c>
      <x:c r="B147" s="3" t="s">
        <x:v>446</x:v>
      </x:c>
      <x:c r="C147" s="4" t="s">
        <x:v>447</x:v>
      </x:c>
      <x:c r="D147" s="5">
        <x:v>306</x:v>
      </x:c>
      <x:c r="E147" s="13">
        <x:v>161</x:v>
      </x:c>
      <x:c r="F147" s="13">
        <x:v>169</x:v>
      </x:c>
      <x:c r="G147" s="13">
        <x:v>168</x:v>
      </x:c>
      <x:c r="H147" s="13">
        <x:v>171</x:v>
      </x:c>
      <x:c r="I147" s="13">
        <x:v>167</x:v>
      </x:c>
      <x:c r="J147" s="13">
        <x:v>174</x:v>
      </x:c>
      <x:c r="K147" s="13">
        <x:v>182</x:v>
      </x:c>
      <x:c r="L147" s="13">
        <x:v>173</x:v>
      </x:c>
      <x:c r="M147" s="13">
        <x:v>168</x:v>
      </x:c>
      <x:c r="N147" s="13">
        <x:v>175</x:v>
      </x:c>
      <x:c r="O147" s="13">
        <x:v>181</x:v>
      </x:c>
      <x:c r="P147" s="13">
        <x:v>178</x:v>
      </x:c>
      <x:c r="Q147" s="13" t="n">
        <x:f t="shared" si="5">COUNT(E147:P147)</x:f>
        <x:v>12</x:v>
      </x:c>
      <x:c r="R147" s="13" t="n">
        <x:f t="shared" si="6">SUM(E147:P147)</x:f>
        <x:v>2067</x:v>
      </x:c>
      <x:c r="S147" s="14" t="n">
        <x:f>IF(Q147&gt;0,R147/Q147,"")</x:f>
        <x:v>172.25</x:v>
      </x:c>
      <x:c r="T147" s="15">
        <x:v>2895522</x:v>
      </x:c>
      <x:c r="U147" s="15">
        <x:v>5174992</x:v>
      </x:c>
      <x:c r="V147" s="14">
        <x:v>377039823</x:v>
      </x:c>
      <x:c r="W147" s="14" t="n">
        <x:f>IF(AND(Q147&gt;0,S147&gt;0,V147&lt;&gt;""),V147/S147/Q147,"")</x:f>
        <x:v>182409.20319303338</x:v>
      </x:c>
      <x:c r="X147" s="3" t="s">
        <x:v>448</x:v>
      </x:c>
    </x:row>
    <x:row r="148">
      <x:c r="A148" s="12" t="s">
        <x:v>322</x:v>
      </x:c>
      <x:c r="B148" s="3" t="s">
        <x:v>436</x:v>
      </x:c>
      <x:c r="C148" s="4" t="s">
        <x:v>449</x:v>
      </x:c>
      <x:c r="D148" s="5">
        <x:v>306</x:v>
      </x:c>
      <x:c r="E148" s="13">
        <x:v>7</x:v>
      </x:c>
      <x:c r="F148" s="13">
        <x:v>7</x:v>
      </x:c>
      <x:c r="G148" s="13">
        <x:v>7</x:v>
      </x:c>
      <x:c r="H148" s="13">
        <x:v>7</x:v>
      </x:c>
      <x:c r="I148" s="13">
        <x:v>7</x:v>
      </x:c>
      <x:c r="J148" s="13">
        <x:v>7</x:v>
      </x:c>
      <x:c r="K148" s="13">
        <x:v>7</x:v>
      </x:c>
      <x:c r="L148" s="13">
        <x:v>7</x:v>
      </x:c>
      <x:c r="M148" s="13">
        <x:v>7</x:v>
      </x:c>
      <x:c r="N148" s="13">
        <x:v>7</x:v>
      </x:c>
      <x:c r="O148" s="13">
        <x:v>7</x:v>
      </x:c>
      <x:c r="P148" s="13">
        <x:v>7</x:v>
      </x:c>
      <x:c r="Q148" s="13" t="n">
        <x:f t="shared" si="5">COUNT(E148:P148)</x:f>
        <x:v>12</x:v>
      </x:c>
      <x:c r="R148" s="13" t="n">
        <x:f t="shared" si="6">SUM(E148:P148)</x:f>
        <x:v>84</x:v>
      </x:c>
      <x:c r="S148" s="14" t="n">
        <x:f>IF(Q148&gt;0,R148/Q148,"")</x:f>
        <x:v>7</x:v>
      </x:c>
      <x:c r="T148" s="15">
        <x:v>968992</x:v>
      </x:c>
      <x:c r="U148" s="15">
        <x:v>797666</x:v>
      </x:c>
      <x:c r="V148" s="14">
        <x:v>15316771</x:v>
      </x:c>
      <x:c r="W148" s="14" t="n">
        <x:f>IF(AND(Q148&gt;0,S148&gt;0,V148&lt;&gt;""),V148/S148/Q148,"")</x:f>
        <x:v>182342.5119047619</x:v>
      </x:c>
      <x:c r="X148" s="3" t="s">
        <x:v>450</x:v>
      </x:c>
    </x:row>
    <x:row r="149">
      <x:c r="A149" s="12" t="s">
        <x:v>451</x:v>
      </x:c>
      <x:c r="B149" s="3" t="s">
        <x:v>452</x:v>
      </x:c>
      <x:c r="C149" s="4" t="s">
        <x:v>453</x:v>
      </x:c>
      <x:c r="D149" s="5">
        <x:v>306</x:v>
      </x:c>
      <x:c r="E149" s="13">
        <x:v>11</x:v>
      </x:c>
      <x:c r="F149" s="13">
        <x:v>12</x:v>
      </x:c>
      <x:c r="G149" s="13">
        <x:v>12</x:v>
      </x:c>
      <x:c r="H149" s="13">
        <x:v>12</x:v>
      </x:c>
      <x:c r="I149" s="13">
        <x:v>12</x:v>
      </x:c>
      <x:c r="J149" s="13">
        <x:v>12</x:v>
      </x:c>
      <x:c r="K149" s="13">
        <x:v>12</x:v>
      </x:c>
      <x:c r="L149" s="13">
        <x:v>13</x:v>
      </x:c>
      <x:c r="M149" s="13">
        <x:v>13</x:v>
      </x:c>
      <x:c r="N149" s="13">
        <x:v>13</x:v>
      </x:c>
      <x:c r="O149" s="13">
        <x:v>13</x:v>
      </x:c>
      <x:c r="P149" s="13">
        <x:v>13</x:v>
      </x:c>
      <x:c r="Q149" s="13" t="n">
        <x:f t="shared" si="5">COUNT(E149:P149)</x:f>
        <x:v>12</x:v>
      </x:c>
      <x:c r="R149" s="13" t="n">
        <x:f t="shared" si="6">SUM(E149:P149)</x:f>
        <x:v>148</x:v>
      </x:c>
      <x:c r="S149" s="14" t="n">
        <x:f>IF(Q149&gt;0,R149/Q149,"")</x:f>
        <x:v>12.333333333333334</x:v>
      </x:c>
      <x:c r="T149" s="15">
        <x:v>1377673</x:v>
      </x:c>
      <x:c r="U149" s="15">
        <x:v>1383294</x:v>
      </x:c>
      <x:c r="V149" s="14">
        <x:v>26761964</x:v>
      </x:c>
      <x:c r="W149" s="14" t="n">
        <x:f>IF(AND(Q149&gt;0,S149&gt;0,V149&lt;&gt;""),V149/S149/Q149,"")</x:f>
        <x:v>180824.08108108107</x:v>
      </x:c>
      <x:c r="X149" s="3" t="s">
        <x:v>454</x:v>
      </x:c>
    </x:row>
    <x:row r="150">
      <x:c r="A150" s="12" t="s">
        <x:v>402</x:v>
      </x:c>
      <x:c r="B150" s="3" t="s">
        <x:v>403</x:v>
      </x:c>
      <x:c r="C150" s="4" t="s">
        <x:v>455</x:v>
      </x:c>
      <x:c r="D150" s="5">
        <x:v>306</x:v>
      </x:c>
      <x:c r="E150" s="13">
        <x:v>1</x:v>
      </x:c>
      <x:c r="F150" s="13">
        <x:v>1</x:v>
      </x:c>
      <x:c r="G150" s="13">
        <x:v>1</x:v>
      </x:c>
      <x:c r="H150" s="13">
        <x:v>1</x:v>
      </x:c>
      <x:c r="I150" s="13">
        <x:v>1</x:v>
      </x:c>
      <x:c r="J150" s="13">
        <x:v>1</x:v>
      </x:c>
      <x:c r="K150" s="13">
        <x:v>1</x:v>
      </x:c>
      <x:c r="L150" s="13">
        <x:v>1</x:v>
      </x:c>
      <x:c r="M150" s="13">
        <x:v>1</x:v>
      </x:c>
      <x:c r="N150" s="13">
        <x:v>1</x:v>
      </x:c>
      <x:c r="O150" s="13">
        <x:v>1</x:v>
      </x:c>
      <x:c r="P150" s="13">
        <x:v>1</x:v>
      </x:c>
      <x:c r="Q150" s="13" t="n">
        <x:f t="shared" si="5">COUNT(E150:P150)</x:f>
        <x:v>12</x:v>
      </x:c>
      <x:c r="R150" s="13" t="n">
        <x:f t="shared" si="6">SUM(E150:P150)</x:f>
        <x:v>12</x:v>
      </x:c>
      <x:c r="S150" s="14" t="n">
        <x:f>IF(Q150&gt;0,R150/Q150,"")</x:f>
        <x:v>1</x:v>
      </x:c>
      <x:c r="T150" s="15">
        <x:v>128309</x:v>
      </x:c>
      <x:c r="U150" s="15">
        <x:v>112679</x:v>
      </x:c>
      <x:c r="V150" s="14">
        <x:v>2162888</x:v>
      </x:c>
      <x:c r="W150" s="14" t="n">
        <x:f>IF(AND(Q150&gt;0,S150&gt;0,V150&lt;&gt;""),V150/S150/Q150,"")</x:f>
        <x:v>180240.66666666666</x:v>
      </x:c>
      <x:c r="X150" s="3" t="s">
        <x:v>456</x:v>
      </x:c>
    </x:row>
    <x:row r="151">
      <x:c r="A151" s="12" t="s">
        <x:v>236</x:v>
      </x:c>
      <x:c r="B151" s="3" t="s">
        <x:v>237</x:v>
      </x:c>
      <x:c r="C151" s="4" t="s">
        <x:v>457</x:v>
      </x:c>
      <x:c r="D151" s="5">
        <x:v>306</x:v>
      </x:c>
      <x:c r="E151" s="13">
        <x:v>22</x:v>
      </x:c>
      <x:c r="F151" s="13">
        <x:v>22</x:v>
      </x:c>
      <x:c r="G151" s="13">
        <x:v>22</x:v>
      </x:c>
      <x:c r="H151" s="13">
        <x:v>25</x:v>
      </x:c>
      <x:c r="I151" s="13">
        <x:v>20</x:v>
      </x:c>
      <x:c r="J151" s="13">
        <x:v>21</x:v>
      </x:c>
      <x:c r="K151" s="13">
        <x:v>18</x:v>
      </x:c>
      <x:c r="L151" s="13">
        <x:v>18</x:v>
      </x:c>
      <x:c r="M151" s="13">
        <x:v>20</x:v>
      </x:c>
      <x:c r="N151" s="13">
        <x:v>21</x:v>
      </x:c>
      <x:c r="O151" s="13">
        <x:v>21</x:v>
      </x:c>
      <x:c r="P151" s="13">
        <x:v>20</x:v>
      </x:c>
      <x:c r="Q151" s="13" t="n">
        <x:f t="shared" si="5">COUNT(E151:P151)</x:f>
        <x:v>12</x:v>
      </x:c>
      <x:c r="R151" s="13" t="n">
        <x:f t="shared" si="6">SUM(E151:P151)</x:f>
        <x:v>250</x:v>
      </x:c>
      <x:c r="S151" s="14" t="n">
        <x:f>IF(Q151&gt;0,R151/Q151,"")</x:f>
        <x:v>20.833333333333332</x:v>
      </x:c>
      <x:c r="T151" s="15">
        <x:v>2609113</x:v>
      </x:c>
      <x:c r="U151" s="15">
        <x:v>2235204</x:v>
      </x:c>
      <x:c r="V151" s="14">
        <x:v>44083064</x:v>
      </x:c>
      <x:c r="W151" s="14" t="n">
        <x:f>IF(AND(Q151&gt;0,S151&gt;0,V151&lt;&gt;""),V151/S151/Q151,"")</x:f>
        <x:v>176332.25600000002</x:v>
      </x:c>
      <x:c r="X151" s="3" t="s">
        <x:v>458</x:v>
      </x:c>
    </x:row>
    <x:row r="152">
      <x:c r="A152" s="12" t="s">
        <x:v>236</x:v>
      </x:c>
      <x:c r="B152" s="3" t="s">
        <x:v>459</x:v>
      </x:c>
      <x:c r="C152" s="4" t="s">
        <x:v>460</x:v>
      </x:c>
      <x:c r="D152" s="5">
        <x:v>306</x:v>
      </x:c>
      <x:c r="E152" s="13">
        <x:v>7</x:v>
      </x:c>
      <x:c r="F152" s="13">
        <x:v>7</x:v>
      </x:c>
      <x:c r="G152" s="13">
        <x:v>7</x:v>
      </x:c>
      <x:c r="H152" s="13">
        <x:v>7</x:v>
      </x:c>
      <x:c r="I152" s="13">
        <x:v>7</x:v>
      </x:c>
      <x:c r="J152" s="13">
        <x:v>7</x:v>
      </x:c>
      <x:c r="K152" s="13">
        <x:v>5</x:v>
      </x:c>
      <x:c r="L152" s="13">
        <x:v>5</x:v>
      </x:c>
      <x:c r="M152" s="13">
        <x:v>4</x:v>
      </x:c>
      <x:c r="N152" s="13">
        <x:v>4</x:v>
      </x:c>
      <x:c r="O152" s="13">
        <x:v>3</x:v>
      </x:c>
      <x:c r="P152" s="13">
        <x:v>4</x:v>
      </x:c>
      <x:c r="Q152" s="13" t="n">
        <x:f t="shared" si="5">COUNT(E152:P152)</x:f>
        <x:v>12</x:v>
      </x:c>
      <x:c r="R152" s="13" t="n">
        <x:f t="shared" si="6">SUM(E152:P152)</x:f>
        <x:v>67</x:v>
      </x:c>
      <x:c r="S152" s="14" t="n">
        <x:f>IF(Q152&gt;0,R152/Q152,"")</x:f>
        <x:v>5.583333333333333</x:v>
      </x:c>
      <x:c r="T152" s="15">
        <x:v>844808</x:v>
      </x:c>
      <x:c r="U152" s="15">
        <x:v>615528</x:v>
      </x:c>
      <x:c r="V152" s="14">
        <x:v>11745228</x:v>
      </x:c>
      <x:c r="W152" s="14" t="n">
        <x:f>IF(AND(Q152&gt;0,S152&gt;0,V152&lt;&gt;""),V152/S152/Q152,"")</x:f>
        <x:v>175301.9104477612</x:v>
      </x:c>
      <x:c r="X152" s="3" t="s">
        <x:v>461</x:v>
      </x:c>
    </x:row>
    <x:row r="153">
      <x:c r="A153" s="12" t="s">
        <x:v>462</x:v>
      </x:c>
      <x:c r="B153" s="3" t="s">
        <x:v>463</x:v>
      </x:c>
      <x:c r="C153" s="4" t="s">
        <x:v>464</x:v>
      </x:c>
      <x:c r="D153" s="5">
        <x:v>306</x:v>
      </x:c>
      <x:c r="E153" s="13">
        <x:v>4</x:v>
      </x:c>
      <x:c r="F153" s="13">
        <x:v>4</x:v>
      </x:c>
      <x:c r="G153" s="13">
        <x:v>4</x:v>
      </x:c>
      <x:c r="H153" s="13">
        <x:v>4</x:v>
      </x:c>
      <x:c r="I153" s="13">
        <x:v>4</x:v>
      </x:c>
      <x:c r="J153" s="13">
        <x:v>4</x:v>
      </x:c>
      <x:c r="K153" s="13">
        <x:v>4</x:v>
      </x:c>
      <x:c r="L153" s="13">
        <x:v>4</x:v>
      </x:c>
      <x:c r="M153" s="13">
        <x:v>6</x:v>
      </x:c>
      <x:c r="N153" s="13">
        <x:v>6</x:v>
      </x:c>
      <x:c r="O153" s="13">
        <x:v>6</x:v>
      </x:c>
      <x:c r="P153" s="13">
        <x:v>6</x:v>
      </x:c>
      <x:c r="Q153" s="13" t="n">
        <x:f t="shared" si="5">COUNT(E153:P153)</x:f>
        <x:v>12</x:v>
      </x:c>
      <x:c r="R153" s="13" t="n">
        <x:f t="shared" si="6">SUM(E153:P153)</x:f>
        <x:v>56</x:v>
      </x:c>
      <x:c r="S153" s="14" t="n">
        <x:f>IF(Q153&gt;0,R153/Q153,"")</x:f>
        <x:v>4.666666666666667</x:v>
      </x:c>
      <x:c r="T153" s="15">
        <x:v>576705</x:v>
      </x:c>
      <x:c r="U153" s="15"/>
      <x:c r="V153" s="14">
        <x:v>9705221</x:v>
      </x:c>
      <x:c r="W153" s="14" t="n">
        <x:f>IF(AND(Q153&gt;0,S153&gt;0,V153&lt;&gt;""),V153/S153/Q153,"")</x:f>
        <x:v>173307.51785714284</x:v>
      </x:c>
      <x:c r="X153" s="3" t="s">
        <x:v>465</x:v>
      </x:c>
    </x:row>
    <x:row r="154">
      <x:c r="A154" s="12" t="s">
        <x:v>51</x:v>
      </x:c>
      <x:c r="B154" s="3" t="s">
        <x:v>52</x:v>
      </x:c>
      <x:c r="C154" s="4" t="s">
        <x:v>466</x:v>
      </x:c>
      <x:c r="D154" s="5">
        <x:v>306</x:v>
      </x:c>
      <x:c r="E154" s="13">
        <x:v>6</x:v>
      </x:c>
      <x:c r="F154" s="13">
        <x:v>6</x:v>
      </x:c>
      <x:c r="G154" s="13">
        <x:v>9</x:v>
      </x:c>
      <x:c r="H154" s="13">
        <x:v>8</x:v>
      </x:c>
      <x:c r="I154" s="13">
        <x:v>10</x:v>
      </x:c>
      <x:c r="J154" s="13">
        <x:v>11</x:v>
      </x:c>
      <x:c r="K154" s="13">
        <x:v>13</x:v>
      </x:c>
      <x:c r="L154" s="13">
        <x:v>14</x:v>
      </x:c>
      <x:c r="M154" s="13">
        <x:v>15</x:v>
      </x:c>
      <x:c r="N154" s="13">
        <x:v>15</x:v>
      </x:c>
      <x:c r="O154" s="13">
        <x:v>11</x:v>
      </x:c>
      <x:c r="P154" s="13">
        <x:v>12</x:v>
      </x:c>
      <x:c r="Q154" s="13" t="n">
        <x:f t="shared" si="5">COUNT(E154:P154)</x:f>
        <x:v>12</x:v>
      </x:c>
      <x:c r="R154" s="13" t="n">
        <x:f t="shared" si="6">SUM(E154:P154)</x:f>
        <x:v>130</x:v>
      </x:c>
      <x:c r="S154" s="14" t="n">
        <x:f>IF(Q154&gt;0,R154/Q154,"")</x:f>
        <x:v>10.833333333333334</x:v>
      </x:c>
      <x:c r="T154" s="15">
        <x:v>1382845</x:v>
      </x:c>
      <x:c r="U154" s="15">
        <x:v>1167268</x:v>
      </x:c>
      <x:c r="V154" s="14">
        <x:v>22478794</x:v>
      </x:c>
      <x:c r="W154" s="14" t="n">
        <x:f>IF(AND(Q154&gt;0,S154&gt;0,V154&lt;&gt;""),V154/S154/Q154,"")</x:f>
        <x:v>172913.8</x:v>
      </x:c>
      <x:c r="X154" s="3" t="s">
        <x:v>467</x:v>
      </x:c>
    </x:row>
    <x:row r="155">
      <x:c r="A155" s="12" t="s">
        <x:v>51</x:v>
      </x:c>
      <x:c r="B155" s="3" t="s">
        <x:v>52</x:v>
      </x:c>
      <x:c r="C155" s="4" t="s">
        <x:v>468</x:v>
      </x:c>
      <x:c r="D155" s="5">
        <x:v>306</x:v>
      </x:c>
      <x:c r="E155" s="13">
        <x:v>20</x:v>
      </x:c>
      <x:c r="F155" s="13">
        <x:v>20</x:v>
      </x:c>
      <x:c r="G155" s="13">
        <x:v>21</x:v>
      </x:c>
      <x:c r="H155" s="13">
        <x:v>20</x:v>
      </x:c>
      <x:c r="I155" s="13">
        <x:v>21</x:v>
      </x:c>
      <x:c r="J155" s="13">
        <x:v>20</x:v>
      </x:c>
      <x:c r="K155" s="13">
        <x:v>20</x:v>
      </x:c>
      <x:c r="L155" s="13">
        <x:v>20</x:v>
      </x:c>
      <x:c r="M155" s="13">
        <x:v>19</x:v>
      </x:c>
      <x:c r="N155" s="13">
        <x:v>19</x:v>
      </x:c>
      <x:c r="O155" s="13">
        <x:v>18</x:v>
      </x:c>
      <x:c r="P155" s="13">
        <x:v>17</x:v>
      </x:c>
      <x:c r="Q155" s="13" t="n">
        <x:f t="shared" si="5">COUNT(E155:P155)</x:f>
        <x:v>12</x:v>
      </x:c>
      <x:c r="R155" s="13" t="n">
        <x:f t="shared" si="6">SUM(E155:P155)</x:f>
        <x:v>235</x:v>
      </x:c>
      <x:c r="S155" s="14" t="n">
        <x:f>IF(Q155&gt;0,R155/Q155,"")</x:f>
        <x:v>19.583333333333332</x:v>
      </x:c>
      <x:c r="T155" s="15">
        <x:v>2459519</x:v>
      </x:c>
      <x:c r="U155" s="15">
        <x:v>2262680</x:v>
      </x:c>
      <x:c r="V155" s="14">
        <x:v>40555944</x:v>
      </x:c>
      <x:c r="W155" s="14" t="n">
        <x:f>IF(AND(Q155&gt;0,S155&gt;0,V155&lt;&gt;""),V155/S155/Q155,"")</x:f>
        <x:v>172578.48510638298</x:v>
      </x:c>
      <x:c r="X155" s="3" t="s">
        <x:v>469</x:v>
      </x:c>
    </x:row>
    <x:row r="156">
      <x:c r="A156" s="12" t="s">
        <x:v>51</x:v>
      </x:c>
      <x:c r="B156" s="3" t="s">
        <x:v>52</x:v>
      </x:c>
      <x:c r="C156" s="4" t="s">
        <x:v>470</x:v>
      </x:c>
      <x:c r="D156" s="5">
        <x:v>306</x:v>
      </x:c>
      <x:c r="E156" s="13">
        <x:v>19</x:v>
      </x:c>
      <x:c r="F156" s="13">
        <x:v>19</x:v>
      </x:c>
      <x:c r="G156" s="13">
        <x:v>21</x:v>
      </x:c>
      <x:c r="H156" s="13">
        <x:v>26</x:v>
      </x:c>
      <x:c r="I156" s="13">
        <x:v>30</x:v>
      </x:c>
      <x:c r="J156" s="13">
        <x:v>26</x:v>
      </x:c>
      <x:c r="K156" s="13">
        <x:v>21</x:v>
      </x:c>
      <x:c r="L156" s="13">
        <x:v>25</x:v>
      </x:c>
      <x:c r="M156" s="13">
        <x:v>26</x:v>
      </x:c>
      <x:c r="N156" s="13">
        <x:v>16</x:v>
      </x:c>
      <x:c r="O156" s="13">
        <x:v>9</x:v>
      </x:c>
      <x:c r="P156" s="13">
        <x:v>10</x:v>
      </x:c>
      <x:c r="Q156" s="13" t="n">
        <x:f t="shared" si="5">COUNT(E156:P156)</x:f>
        <x:v>12</x:v>
      </x:c>
      <x:c r="R156" s="13" t="n">
        <x:f t="shared" si="6">SUM(E156:P156)</x:f>
        <x:v>248</x:v>
      </x:c>
      <x:c r="S156" s="14" t="n">
        <x:f>IF(Q156&gt;0,R156/Q156,"")</x:f>
        <x:v>20.666666666666668</x:v>
      </x:c>
      <x:c r="T156" s="15">
        <x:v>12187</x:v>
      </x:c>
      <x:c r="U156" s="15">
        <x:v>0</x:v>
      </x:c>
      <x:c r="V156" s="14">
        <x:v>42704209</x:v>
      </x:c>
      <x:c r="W156" s="14" t="n">
        <x:f>IF(AND(Q156&gt;0,S156&gt;0,V156&lt;&gt;""),V156/S156/Q156,"")</x:f>
        <x:v>172194.39112903224</x:v>
      </x:c>
      <x:c r="X156" s="3" t="s">
        <x:v>471</x:v>
      </x:c>
    </x:row>
    <x:row r="157">
      <x:c r="A157" s="12" t="s">
        <x:v>472</x:v>
      </x:c>
      <x:c r="B157" s="3" t="s">
        <x:v>473</x:v>
      </x:c>
      <x:c r="C157" s="4" t="s">
        <x:v>474</x:v>
      </x:c>
      <x:c r="D157" s="5">
        <x:v>306</x:v>
      </x:c>
      <x:c r="E157" s="13">
        <x:v>2</x:v>
      </x:c>
      <x:c r="F157" s="13">
        <x:v>2</x:v>
      </x:c>
      <x:c r="G157" s="13">
        <x:v>2</x:v>
      </x:c>
      <x:c r="H157" s="13">
        <x:v>3</x:v>
      </x:c>
      <x:c r="I157" s="13">
        <x:v>2</x:v>
      </x:c>
      <x:c r="J157" s="13">
        <x:v>3</x:v>
      </x:c>
      <x:c r="K157" s="13">
        <x:v>3</x:v>
      </x:c>
      <x:c r="L157" s="13">
        <x:v>2</x:v>
      </x:c>
      <x:c r="M157" s="13">
        <x:v>2</x:v>
      </x:c>
      <x:c r="N157" s="13">
        <x:v>2</x:v>
      </x:c>
      <x:c r="O157" s="13">
        <x:v>2</x:v>
      </x:c>
      <x:c r="P157" s="13">
        <x:v>2</x:v>
      </x:c>
      <x:c r="Q157" s="13" t="n">
        <x:f t="shared" si="5">COUNT(E157:P157)</x:f>
        <x:v>12</x:v>
      </x:c>
      <x:c r="R157" s="13" t="n">
        <x:f t="shared" si="6">SUM(E157:P157)</x:f>
        <x:v>27</x:v>
      </x:c>
      <x:c r="S157" s="14" t="n">
        <x:f>IF(Q157&gt;0,R157/Q157,"")</x:f>
        <x:v>2.25</x:v>
      </x:c>
      <x:c r="T157" s="15">
        <x:v>376313</x:v>
      </x:c>
      <x:c r="U157" s="15">
        <x:v>314107</x:v>
      </x:c>
      <x:c r="V157" s="14">
        <x:v>4645403</x:v>
      </x:c>
      <x:c r="W157" s="14" t="n">
        <x:f>IF(AND(Q157&gt;0,S157&gt;0,V157&lt;&gt;""),V157/S157/Q157,"")</x:f>
        <x:v>172051.96296296295</x:v>
      </x:c>
      <x:c r="X157" s="3" t="s">
        <x:v>475</x:v>
      </x:c>
    </x:row>
    <x:row r="158">
      <x:c r="A158" s="12" t="s">
        <x:v>236</x:v>
      </x:c>
      <x:c r="B158" s="3" t="s">
        <x:v>237</x:v>
      </x:c>
      <x:c r="C158" s="4" t="s">
        <x:v>476</x:v>
      </x:c>
      <x:c r="D158" s="5">
        <x:v>306</x:v>
      </x:c>
      <x:c r="E158" s="13">
        <x:v>20</x:v>
      </x:c>
      <x:c r="F158" s="13">
        <x:v>19</x:v>
      </x:c>
      <x:c r="G158" s="13">
        <x:v>20</x:v>
      </x:c>
      <x:c r="H158" s="13">
        <x:v>20</x:v>
      </x:c>
      <x:c r="I158" s="13">
        <x:v>17</x:v>
      </x:c>
      <x:c r="J158" s="13">
        <x:v>17</x:v>
      </x:c>
      <x:c r="K158" s="13">
        <x:v>17</x:v>
      </x:c>
      <x:c r="L158" s="13">
        <x:v>16</x:v>
      </x:c>
      <x:c r="M158" s="13">
        <x:v>19</x:v>
      </x:c>
      <x:c r="N158" s="13">
        <x:v>20</x:v>
      </x:c>
      <x:c r="O158" s="13">
        <x:v>20</x:v>
      </x:c>
      <x:c r="P158" s="13">
        <x:v>22</x:v>
      </x:c>
      <x:c r="Q158" s="13" t="n">
        <x:f t="shared" si="5">COUNT(E158:P158)</x:f>
        <x:v>12</x:v>
      </x:c>
      <x:c r="R158" s="13" t="n">
        <x:f t="shared" si="6">SUM(E158:P158)</x:f>
        <x:v>227</x:v>
      </x:c>
      <x:c r="S158" s="14" t="n">
        <x:f>IF(Q158&gt;0,R158/Q158,"")</x:f>
        <x:v>18.916666666666668</x:v>
      </x:c>
      <x:c r="T158" s="15">
        <x:v>2280816</x:v>
      </x:c>
      <x:c r="U158" s="15">
        <x:v>2043475</x:v>
      </x:c>
      <x:c r="V158" s="14">
        <x:v>39030467</x:v>
      </x:c>
      <x:c r="W158" s="14" t="n">
        <x:f>IF(AND(Q158&gt;0,S158&gt;0,V158&lt;&gt;""),V158/S158/Q158,"")</x:f>
        <x:v>171940.38325991188</x:v>
      </x:c>
      <x:c r="X158" s="3" t="s">
        <x:v>477</x:v>
      </x:c>
    </x:row>
    <x:row r="159">
      <x:c r="A159" s="12" t="s">
        <x:v>51</x:v>
      </x:c>
      <x:c r="B159" s="3" t="s">
        <x:v>52</x:v>
      </x:c>
      <x:c r="C159" s="4" t="s">
        <x:v>478</x:v>
      </x:c>
      <x:c r="D159" s="5">
        <x:v>306</x:v>
      </x:c>
      <x:c r="E159" s="13">
        <x:v>3</x:v>
      </x:c>
      <x:c r="F159" s="13">
        <x:v>3</x:v>
      </x:c>
      <x:c r="G159" s="13">
        <x:v>4</x:v>
      </x:c>
      <x:c r="H159" s="13">
        <x:v>5</x:v>
      </x:c>
      <x:c r="I159" s="13">
        <x:v>5</x:v>
      </x:c>
      <x:c r="J159" s="13">
        <x:v>6</x:v>
      </x:c>
      <x:c r="K159" s="13">
        <x:v>5</x:v>
      </x:c>
      <x:c r="L159" s="13">
        <x:v>5</x:v>
      </x:c>
      <x:c r="M159" s="13">
        <x:v>5</x:v>
      </x:c>
      <x:c r="N159" s="13"/>
      <x:c r="O159" s="13"/>
      <x:c r="P159" s="13"/>
      <x:c r="Q159" s="13" t="n">
        <x:f t="shared" si="5">COUNT(E159:P159)</x:f>
        <x:v>9</x:v>
      </x:c>
      <x:c r="R159" s="13" t="n">
        <x:f t="shared" si="6">SUM(E159:P159)</x:f>
        <x:v>41</x:v>
      </x:c>
      <x:c r="S159" s="14" t="n">
        <x:f>IF(Q159&gt;0,R159/Q159,"")</x:f>
        <x:v>4.555555555555555</x:v>
      </x:c>
      <x:c r="T159" s="15">
        <x:v>419578</x:v>
      </x:c>
      <x:c r="U159" s="15">
        <x:v>364700</x:v>
      </x:c>
      <x:c r="V159" s="14">
        <x:v>7000000</x:v>
      </x:c>
      <x:c r="W159" s="14" t="n">
        <x:f>IF(AND(Q159&gt;0,S159&gt;0,V159&lt;&gt;""),V159/S159/Q159,"")</x:f>
        <x:v>170731.7073170732</x:v>
      </x:c>
      <x:c r="X159" s="3" t="s">
        <x:v>479</x:v>
      </x:c>
    </x:row>
    <x:row r="160">
      <x:c r="A160" s="12" t="s">
        <x:v>71</x:v>
      </x:c>
      <x:c r="B160" s="3" t="s">
        <x:v>72</x:v>
      </x:c>
      <x:c r="C160" s="4" t="s">
        <x:v>480</x:v>
      </x:c>
      <x:c r="D160" s="5">
        <x:v>306</x:v>
      </x:c>
      <x:c r="E160" s="13"/>
      <x:c r="F160" s="13"/>
      <x:c r="G160" s="13"/>
      <x:c r="H160" s="13"/>
      <x:c r="I160" s="13"/>
      <x:c r="J160" s="13"/>
      <x:c r="K160" s="13">
        <x:v>10</x:v>
      </x:c>
      <x:c r="L160" s="13">
        <x:v>10</x:v>
      </x:c>
      <x:c r="M160" s="13">
        <x:v>11</x:v>
      </x:c>
      <x:c r="N160" s="13">
        <x:v>11</x:v>
      </x:c>
      <x:c r="O160" s="13">
        <x:v>11</x:v>
      </x:c>
      <x:c r="P160" s="13">
        <x:v>14</x:v>
      </x:c>
      <x:c r="Q160" s="13" t="n">
        <x:f t="shared" si="5">COUNT(E160:P160)</x:f>
        <x:v>6</x:v>
      </x:c>
      <x:c r="R160" s="13" t="n">
        <x:f t="shared" si="6">SUM(E160:P160)</x:f>
        <x:v>67</x:v>
      </x:c>
      <x:c r="S160" s="14" t="n">
        <x:f>IF(Q160&gt;0,R160/Q160,"")</x:f>
        <x:v>11.166666666666666</x:v>
      </x:c>
      <x:c r="T160" s="15">
        <x:v>653965</x:v>
      </x:c>
      <x:c r="U160" s="15">
        <x:v>624003</x:v>
      </x:c>
      <x:c r="V160" s="14">
        <x:v>11427046</x:v>
      </x:c>
      <x:c r="W160" s="14" t="n">
        <x:f>IF(AND(Q160&gt;0,S160&gt;0,V160&lt;&gt;""),V160/S160/Q160,"")</x:f>
        <x:v>170552.92537313435</x:v>
      </x:c>
      <x:c r="X160" s="3" t="s">
        <x:v>481</x:v>
      </x:c>
    </x:row>
    <x:row r="161">
      <x:c r="A161" s="12" t="s">
        <x:v>259</x:v>
      </x:c>
      <x:c r="B161" s="3" t="s">
        <x:v>260</x:v>
      </x:c>
      <x:c r="C161" s="4" t="s">
        <x:v>482</x:v>
      </x:c>
      <x:c r="D161" s="5">
        <x:v>306</x:v>
      </x:c>
      <x:c r="E161" s="13">
        <x:v>15</x:v>
      </x:c>
      <x:c r="F161" s="13">
        <x:v>16</x:v>
      </x:c>
      <x:c r="G161" s="13">
        <x:v>15</x:v>
      </x:c>
      <x:c r="H161" s="13">
        <x:v>15</x:v>
      </x:c>
      <x:c r="I161" s="13">
        <x:v>15</x:v>
      </x:c>
      <x:c r="J161" s="13">
        <x:v>15</x:v>
      </x:c>
      <x:c r="K161" s="13">
        <x:v>15</x:v>
      </x:c>
      <x:c r="L161" s="13">
        <x:v>14</x:v>
      </x:c>
      <x:c r="M161" s="13">
        <x:v>14</x:v>
      </x:c>
      <x:c r="N161" s="13">
        <x:v>16</x:v>
      </x:c>
      <x:c r="O161" s="13">
        <x:v>16</x:v>
      </x:c>
      <x:c r="P161" s="13">
        <x:v>16</x:v>
      </x:c>
      <x:c r="Q161" s="13" t="n">
        <x:f t="shared" si="5">COUNT(E161:P161)</x:f>
        <x:v>12</x:v>
      </x:c>
      <x:c r="R161" s="13" t="n">
        <x:f t="shared" si="6">SUM(E161:P161)</x:f>
        <x:v>182</x:v>
      </x:c>
      <x:c r="S161" s="14" t="n">
        <x:f>IF(Q161&gt;0,R161/Q161,"")</x:f>
        <x:v>15.166666666666666</x:v>
      </x:c>
      <x:c r="T161" s="15">
        <x:v>2716005</x:v>
      </x:c>
      <x:c r="U161" s="15">
        <x:v>1636932</x:v>
      </x:c>
      <x:c r="V161" s="14">
        <x:v>30887129</x:v>
      </x:c>
      <x:c r="W161" s="14" t="n">
        <x:f>IF(AND(Q161&gt;0,S161&gt;0,V161&lt;&gt;""),V161/S161/Q161,"")</x:f>
        <x:v>169709.5</x:v>
      </x:c>
      <x:c r="X161" s="3" t="s">
        <x:v>483</x:v>
      </x:c>
    </x:row>
    <x:row r="162">
      <x:c r="A162" s="12" t="s">
        <x:v>51</x:v>
      </x:c>
      <x:c r="B162" s="3" t="s">
        <x:v>52</x:v>
      </x:c>
      <x:c r="C162" s="4" t="s">
        <x:v>484</x:v>
      </x:c>
      <x:c r="D162" s="5">
        <x:v>306</x:v>
      </x:c>
      <x:c r="E162" s="13">
        <x:v>6</x:v>
      </x:c>
      <x:c r="F162" s="13">
        <x:v>6</x:v>
      </x:c>
      <x:c r="G162" s="13">
        <x:v>6</x:v>
      </x:c>
      <x:c r="H162" s="13">
        <x:v>6</x:v>
      </x:c>
      <x:c r="I162" s="13">
        <x:v>6</x:v>
      </x:c>
      <x:c r="J162" s="13">
        <x:v>6</x:v>
      </x:c>
      <x:c r="K162" s="13">
        <x:v>6</x:v>
      </x:c>
      <x:c r="L162" s="13">
        <x:v>6</x:v>
      </x:c>
      <x:c r="M162" s="13">
        <x:v>6</x:v>
      </x:c>
      <x:c r="N162" s="13">
        <x:v>6</x:v>
      </x:c>
      <x:c r="O162" s="13">
        <x:v>6</x:v>
      </x:c>
      <x:c r="P162" s="13">
        <x:v>6</x:v>
      </x:c>
      <x:c r="Q162" s="13" t="n">
        <x:f t="shared" si="5">COUNT(E162:P162)</x:f>
        <x:v>12</x:v>
      </x:c>
      <x:c r="R162" s="13" t="n">
        <x:f t="shared" si="6">SUM(E162:P162)</x:f>
        <x:v>72</x:v>
      </x:c>
      <x:c r="S162" s="14" t="n">
        <x:f>IF(Q162&gt;0,R162/Q162,"")</x:f>
        <x:v>6</x:v>
      </x:c>
      <x:c r="T162" s="15">
        <x:v>725305</x:v>
      </x:c>
      <x:c r="U162" s="15">
        <x:v>0</x:v>
      </x:c>
      <x:c r="V162" s="14">
        <x:v>12019844</x:v>
      </x:c>
      <x:c r="W162" s="14" t="n">
        <x:f>IF(AND(Q162&gt;0,S162&gt;0,V162&lt;&gt;""),V162/S162/Q162,"")</x:f>
        <x:v>166942.27777777778</x:v>
      </x:c>
      <x:c r="X162" s="3" t="s">
        <x:v>485</x:v>
      </x:c>
    </x:row>
    <x:row r="163">
      <x:c r="A163" s="12" t="s">
        <x:v>486</x:v>
      </x:c>
      <x:c r="B163" s="3" t="s">
        <x:v>487</x:v>
      </x:c>
      <x:c r="C163" s="4" t="s">
        <x:v>488</x:v>
      </x:c>
      <x:c r="D163" s="5">
        <x:v>306</x:v>
      </x:c>
      <x:c r="E163" s="13">
        <x:v>2</x:v>
      </x:c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 t="n">
        <x:f t="shared" si="5">COUNT(E163:P163)</x:f>
        <x:v>1</x:v>
      </x:c>
      <x:c r="R163" s="13" t="n">
        <x:f t="shared" si="6">SUM(E163:P163)</x:f>
        <x:v>2</x:v>
      </x:c>
      <x:c r="S163" s="14" t="n">
        <x:f>IF(Q163&gt;0,R163/Q163,"")</x:f>
        <x:v>2</x:v>
      </x:c>
      <x:c r="T163" s="15">
        <x:v>16748</x:v>
      </x:c>
      <x:c r="U163" s="15">
        <x:v>16969</x:v>
      </x:c>
      <x:c r="V163" s="14">
        <x:v>331428</x:v>
      </x:c>
      <x:c r="W163" s="14" t="n">
        <x:f>IF(AND(Q163&gt;0,S163&gt;0,V163&lt;&gt;""),V163/S163/Q163,"")</x:f>
        <x:v>165714</x:v>
      </x:c>
      <x:c r="X163" s="3" t="s">
        <x:v>489</x:v>
      </x:c>
    </x:row>
    <x:row r="164">
      <x:c r="A164" s="12" t="s">
        <x:v>108</x:v>
      </x:c>
      <x:c r="B164" s="3" t="s">
        <x:v>109</x:v>
      </x:c>
      <x:c r="C164" s="4" t="s">
        <x:v>490</x:v>
      </x:c>
      <x:c r="D164" s="5">
        <x:v>306</x:v>
      </x:c>
      <x:c r="E164" s="13"/>
      <x:c r="F164" s="13"/>
      <x:c r="G164" s="13"/>
      <x:c r="H164" s="13">
        <x:v>93</x:v>
      </x:c>
      <x:c r="I164" s="13">
        <x:v>96</x:v>
      </x:c>
      <x:c r="J164" s="13">
        <x:v>87</x:v>
      </x:c>
      <x:c r="K164" s="13"/>
      <x:c r="L164" s="13"/>
      <x:c r="M164" s="13"/>
      <x:c r="N164" s="13"/>
      <x:c r="O164" s="13"/>
      <x:c r="P164" s="13"/>
      <x:c r="Q164" s="13" t="n">
        <x:f t="shared" si="5">COUNT(E164:P164)</x:f>
        <x:v>3</x:v>
      </x:c>
      <x:c r="R164" s="13" t="n">
        <x:f t="shared" si="6">SUM(E164:P164)</x:f>
        <x:v>276</x:v>
      </x:c>
      <x:c r="S164" s="14" t="n">
        <x:f>IF(Q164&gt;0,R164/Q164,"")</x:f>
        <x:v>92</x:v>
      </x:c>
      <x:c r="T164" s="15">
        <x:v>3977551</x:v>
      </x:c>
      <x:c r="U164" s="15">
        <x:v>2480131</x:v>
      </x:c>
      <x:c r="V164" s="14">
        <x:v>45686997</x:v>
      </x:c>
      <x:c r="W164" s="14" t="n">
        <x:f>IF(AND(Q164&gt;0,S164&gt;0,V164&lt;&gt;""),V164/S164/Q164,"")</x:f>
        <x:v>165532.59782608695</x:v>
      </x:c>
      <x:c r="X164" s="3" t="s">
        <x:v>491</x:v>
      </x:c>
    </x:row>
    <x:row r="165">
      <x:c r="A165" s="12" t="s">
        <x:v>51</x:v>
      </x:c>
      <x:c r="B165" s="3" t="s">
        <x:v>52</x:v>
      </x:c>
      <x:c r="C165" s="4" t="s">
        <x:v>492</x:v>
      </x:c>
      <x:c r="D165" s="5">
        <x:v>306</x:v>
      </x:c>
      <x:c r="E165" s="13">
        <x:v>4</x:v>
      </x:c>
      <x:c r="F165" s="13">
        <x:v>4</x:v>
      </x:c>
      <x:c r="G165" s="13">
        <x:v>4</x:v>
      </x:c>
      <x:c r="H165" s="13">
        <x:v>4</x:v>
      </x:c>
      <x:c r="I165" s="13">
        <x:v>4</x:v>
      </x:c>
      <x:c r="J165" s="13">
        <x:v>4</x:v>
      </x:c>
      <x:c r="K165" s="13">
        <x:v>4</x:v>
      </x:c>
      <x:c r="L165" s="13">
        <x:v>4</x:v>
      </x:c>
      <x:c r="M165" s="13">
        <x:v>4</x:v>
      </x:c>
      <x:c r="N165" s="13">
        <x:v>4</x:v>
      </x:c>
      <x:c r="O165" s="13">
        <x:v>4</x:v>
      </x:c>
      <x:c r="P165" s="13">
        <x:v>4</x:v>
      </x:c>
      <x:c r="Q165" s="13" t="n">
        <x:f t="shared" si="5">COUNT(E165:P165)</x:f>
        <x:v>12</x:v>
      </x:c>
      <x:c r="R165" s="13" t="n">
        <x:f t="shared" si="6">SUM(E165:P165)</x:f>
        <x:v>48</x:v>
      </x:c>
      <x:c r="S165" s="14" t="n">
        <x:f>IF(Q165&gt;0,R165/Q165,"")</x:f>
        <x:v>4</x:v>
      </x:c>
      <x:c r="T165" s="15">
        <x:v>368688</x:v>
      </x:c>
      <x:c r="U165" s="15">
        <x:v>0</x:v>
      </x:c>
      <x:c r="V165" s="14">
        <x:v>7860000</x:v>
      </x:c>
      <x:c r="W165" s="14" t="n">
        <x:f>IF(AND(Q165&gt;0,S165&gt;0,V165&lt;&gt;""),V165/S165/Q165,"")</x:f>
        <x:v>163750</x:v>
      </x:c>
      <x:c r="X165" s="3" t="s">
        <x:v>493</x:v>
      </x:c>
    </x:row>
    <x:row r="166">
      <x:c r="A166" s="12" t="s">
        <x:v>67</x:v>
      </x:c>
      <x:c r="B166" s="3" t="s">
        <x:v>68</x:v>
      </x:c>
      <x:c r="C166" s="4" t="s">
        <x:v>494</x:v>
      </x:c>
      <x:c r="D166" s="5">
        <x:v>306</x:v>
      </x:c>
      <x:c r="E166" s="13">
        <x:v>105</x:v>
      </x:c>
      <x:c r="F166" s="13">
        <x:v>108</x:v>
      </x:c>
      <x:c r="G166" s="13">
        <x:v>107</x:v>
      </x:c>
      <x:c r="H166" s="13">
        <x:v>110</x:v>
      </x:c>
      <x:c r="I166" s="13">
        <x:v>86</x:v>
      </x:c>
      <x:c r="J166" s="13">
        <x:v>86</x:v>
      </x:c>
      <x:c r="K166" s="13">
        <x:v>87</x:v>
      </x:c>
      <x:c r="L166" s="13">
        <x:v>85</x:v>
      </x:c>
      <x:c r="M166" s="13">
        <x:v>88</x:v>
      </x:c>
      <x:c r="N166" s="13">
        <x:v>108</x:v>
      </x:c>
      <x:c r="O166" s="13">
        <x:v>114</x:v>
      </x:c>
      <x:c r="P166" s="13">
        <x:v>111</x:v>
      </x:c>
      <x:c r="Q166" s="13" t="n">
        <x:f t="shared" si="5">COUNT(E166:P166)</x:f>
        <x:v>12</x:v>
      </x:c>
      <x:c r="R166" s="13" t="n">
        <x:f t="shared" si="6">SUM(E166:P166)</x:f>
        <x:v>1195</x:v>
      </x:c>
      <x:c r="S166" s="14" t="n">
        <x:f>IF(Q166&gt;0,R166/Q166,"")</x:f>
        <x:v>99.58333333333333</x:v>
      </x:c>
      <x:c r="T166" s="15">
        <x:v>10450840</x:v>
      </x:c>
      <x:c r="U166" s="15">
        <x:v>10401994</x:v>
      </x:c>
      <x:c r="V166" s="14">
        <x:v>194441393</x:v>
      </x:c>
      <x:c r="W166" s="14" t="n">
        <x:f>IF(AND(Q166&gt;0,S166&gt;0,V166&lt;&gt;""),V166/S166/Q166,"")</x:f>
        <x:v>162712.4627615063</x:v>
      </x:c>
      <x:c r="X166" s="3" t="s">
        <x:v>495</x:v>
      </x:c>
    </x:row>
    <x:row r="167">
      <x:c r="A167" s="12" t="s">
        <x:v>236</x:v>
      </x:c>
      <x:c r="B167" s="3" t="s">
        <x:v>496</x:v>
      </x:c>
      <x:c r="C167" s="4" t="s">
        <x:v>497</x:v>
      </x:c>
      <x:c r="D167" s="5">
        <x:v>306</x:v>
      </x:c>
      <x:c r="E167" s="13">
        <x:v>10</x:v>
      </x:c>
      <x:c r="F167" s="13">
        <x:v>10</x:v>
      </x:c>
      <x:c r="G167" s="13">
        <x:v>10</x:v>
      </x:c>
      <x:c r="H167" s="13">
        <x:v>11</x:v>
      </x:c>
      <x:c r="I167" s="13">
        <x:v>11</x:v>
      </x:c>
      <x:c r="J167" s="13">
        <x:v>9</x:v>
      </x:c>
      <x:c r="K167" s="13">
        <x:v>9</x:v>
      </x:c>
      <x:c r="L167" s="13">
        <x:v>8</x:v>
      </x:c>
      <x:c r="M167" s="13">
        <x:v>8</x:v>
      </x:c>
      <x:c r="N167" s="13">
        <x:v>11</x:v>
      </x:c>
      <x:c r="O167" s="13">
        <x:v>11</x:v>
      </x:c>
      <x:c r="P167" s="13">
        <x:v>12</x:v>
      </x:c>
      <x:c r="Q167" s="13" t="n">
        <x:f t="shared" si="5">COUNT(E167:P167)</x:f>
        <x:v>12</x:v>
      </x:c>
      <x:c r="R167" s="13" t="n">
        <x:f t="shared" si="6">SUM(E167:P167)</x:f>
        <x:v>120</x:v>
      </x:c>
      <x:c r="S167" s="14" t="n">
        <x:f>IF(Q167&gt;0,R167/Q167,"")</x:f>
        <x:v>10</x:v>
      </x:c>
      <x:c r="T167" s="15">
        <x:v>1207268</x:v>
      </x:c>
      <x:c r="U167" s="15">
        <x:v>1010425</x:v>
      </x:c>
      <x:c r="V167" s="14">
        <x:v>19490294</x:v>
      </x:c>
      <x:c r="W167" s="14" t="n">
        <x:f>IF(AND(Q167&gt;0,S167&gt;0,V167&lt;&gt;""),V167/S167/Q167,"")</x:f>
        <x:v>162419.11666666667</x:v>
      </x:c>
      <x:c r="X167" s="3" t="s">
        <x:v>498</x:v>
      </x:c>
    </x:row>
    <x:row r="168">
      <x:c r="A168" s="12" t="s">
        <x:v>59</x:v>
      </x:c>
      <x:c r="B168" s="3" t="s">
        <x:v>499</x:v>
      </x:c>
      <x:c r="C168" s="4" t="s">
        <x:v>500</x:v>
      </x:c>
      <x:c r="D168" s="5">
        <x:v>306</x:v>
      </x:c>
      <x:c r="E168" s="13">
        <x:v>4</x:v>
      </x:c>
      <x:c r="F168" s="13">
        <x:v>3</x:v>
      </x:c>
      <x:c r="G168" s="13">
        <x:v>3</x:v>
      </x:c>
      <x:c r="H168" s="13">
        <x:v>3</x:v>
      </x:c>
      <x:c r="I168" s="13">
        <x:v>4</x:v>
      </x:c>
      <x:c r="J168" s="13">
        <x:v>4</x:v>
      </x:c>
      <x:c r="K168" s="13">
        <x:v>4</x:v>
      </x:c>
      <x:c r="L168" s="13">
        <x:v>4</x:v>
      </x:c>
      <x:c r="M168" s="13">
        <x:v>4</x:v>
      </x:c>
      <x:c r="N168" s="13">
        <x:v>2</x:v>
      </x:c>
      <x:c r="O168" s="13">
        <x:v>4</x:v>
      </x:c>
      <x:c r="P168" s="13">
        <x:v>4</x:v>
      </x:c>
      <x:c r="Q168" s="13" t="n">
        <x:f t="shared" si="5">COUNT(E168:P168)</x:f>
        <x:v>12</x:v>
      </x:c>
      <x:c r="R168" s="13" t="n">
        <x:f t="shared" si="6">SUM(E168:P168)</x:f>
        <x:v>43</x:v>
      </x:c>
      <x:c r="S168" s="14" t="n">
        <x:f>IF(Q168&gt;0,R168/Q168,"")</x:f>
        <x:v>3.5833333333333335</x:v>
      </x:c>
      <x:c r="T168" s="15">
        <x:v>388464</x:v>
      </x:c>
      <x:c r="U168" s="15">
        <x:v>361574</x:v>
      </x:c>
      <x:c r="V168" s="14">
        <x:v>6940000</x:v>
      </x:c>
      <x:c r="W168" s="14" t="n">
        <x:f>IF(AND(Q168&gt;0,S168&gt;0,V168&lt;&gt;""),V168/S168/Q168,"")</x:f>
        <x:v>161395.3488372093</x:v>
      </x:c>
      <x:c r="X168" s="3" t="s">
        <x:v>501</x:v>
      </x:c>
    </x:row>
    <x:row r="169">
      <x:c r="A169" s="12" t="s">
        <x:v>502</x:v>
      </x:c>
      <x:c r="B169" s="3" t="s">
        <x:v>503</x:v>
      </x:c>
      <x:c r="C169" s="4" t="s">
        <x:v>504</x:v>
      </x:c>
      <x:c r="D169" s="5">
        <x:v>306</x:v>
      </x:c>
      <x:c r="E169" s="13">
        <x:v>4</x:v>
      </x:c>
      <x:c r="F169" s="13">
        <x:v>4</x:v>
      </x:c>
      <x:c r="G169" s="13">
        <x:v>4</x:v>
      </x:c>
      <x:c r="H169" s="13">
        <x:v>4</x:v>
      </x:c>
      <x:c r="I169" s="13">
        <x:v>3</x:v>
      </x:c>
      <x:c r="J169" s="13">
        <x:v>3</x:v>
      </x:c>
      <x:c r="K169" s="13">
        <x:v>4</x:v>
      </x:c>
      <x:c r="L169" s="13">
        <x:v>4</x:v>
      </x:c>
      <x:c r="M169" s="13">
        <x:v>4</x:v>
      </x:c>
      <x:c r="N169" s="13">
        <x:v>5</x:v>
      </x:c>
      <x:c r="O169" s="13">
        <x:v>5</x:v>
      </x:c>
      <x:c r="P169" s="13">
        <x:v>5</x:v>
      </x:c>
      <x:c r="Q169" s="13" t="n">
        <x:f t="shared" si="5">COUNT(E169:P169)</x:f>
        <x:v>12</x:v>
      </x:c>
      <x:c r="R169" s="13" t="n">
        <x:f t="shared" si="6">SUM(E169:P169)</x:f>
        <x:v>49</x:v>
      </x:c>
      <x:c r="S169" s="14" t="n">
        <x:f>IF(Q169&gt;0,R169/Q169,"")</x:f>
        <x:v>4.083333333333333</x:v>
      </x:c>
      <x:c r="T169" s="15">
        <x:v>157310</x:v>
      </x:c>
      <x:c r="U169" s="15">
        <x:v>414568</x:v>
      </x:c>
      <x:c r="V169" s="14">
        <x:v>7848230</x:v>
      </x:c>
      <x:c r="W169" s="14" t="n">
        <x:f>IF(AND(Q169&gt;0,S169&gt;0,V169&lt;&gt;""),V169/S169/Q169,"")</x:f>
        <x:v>160167.95918367346</x:v>
      </x:c>
      <x:c r="X169" s="3" t="s">
        <x:v>505</x:v>
      </x:c>
    </x:row>
    <x:row r="170">
      <x:c r="A170" s="12" t="s">
        <x:v>506</x:v>
      </x:c>
      <x:c r="B170" s="3" t="s">
        <x:v>507</x:v>
      </x:c>
      <x:c r="C170" s="4" t="s">
        <x:v>508</x:v>
      </x:c>
      <x:c r="D170" s="5">
        <x:v>306</x:v>
      </x:c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>
        <x:v>2</x:v>
      </x:c>
      <x:c r="P170" s="13">
        <x:v>2</x:v>
      </x:c>
      <x:c r="Q170" s="13" t="n">
        <x:f t="shared" si="5">COUNT(E170:P170)</x:f>
        <x:v>2</x:v>
      </x:c>
      <x:c r="R170" s="13" t="n">
        <x:f t="shared" si="6">SUM(E170:P170)</x:f>
        <x:v>4</x:v>
      </x:c>
      <x:c r="S170" s="14" t="n">
        <x:f>IF(Q170&gt;0,R170/Q170,"")</x:f>
        <x:v>2</x:v>
      </x:c>
      <x:c r="T170" s="15">
        <x:v>35644</x:v>
      </x:c>
      <x:c r="U170" s="15">
        <x:v>0</x:v>
      </x:c>
      <x:c r="V170" s="14">
        <x:v>640000</x:v>
      </x:c>
      <x:c r="W170" s="14" t="n">
        <x:f>IF(AND(Q170&gt;0,S170&gt;0,V170&lt;&gt;""),V170/S170/Q170,"")</x:f>
        <x:v>160000</x:v>
      </x:c>
      <x:c r="X170" s="3" t="s">
        <x:v>509</x:v>
      </x:c>
    </x:row>
    <x:row r="171">
      <x:c r="A171" s="12" t="s">
        <x:v>92</x:v>
      </x:c>
      <x:c r="B171" s="3" t="s">
        <x:v>93</x:v>
      </x:c>
      <x:c r="C171" s="4" t="s">
        <x:v>510</x:v>
      </x:c>
      <x:c r="D171" s="5">
        <x:v>306</x:v>
      </x:c>
      <x:c r="E171" s="13">
        <x:v>25</x:v>
      </x:c>
      <x:c r="F171" s="13">
        <x:v>25</x:v>
      </x:c>
      <x:c r="G171" s="13">
        <x:v>25</x:v>
      </x:c>
      <x:c r="H171" s="13">
        <x:v>32</x:v>
      </x:c>
      <x:c r="I171" s="13">
        <x:v>32</x:v>
      </x:c>
      <x:c r="J171" s="13">
        <x:v>32</x:v>
      </x:c>
      <x:c r="K171" s="13">
        <x:v>31</x:v>
      </x:c>
      <x:c r="L171" s="13">
        <x:v>30</x:v>
      </x:c>
      <x:c r="M171" s="13">
        <x:v>31</x:v>
      </x:c>
      <x:c r="N171" s="13">
        <x:v>31</x:v>
      </x:c>
      <x:c r="O171" s="13">
        <x:v>31</x:v>
      </x:c>
      <x:c r="P171" s="13">
        <x:v>31</x:v>
      </x:c>
      <x:c r="Q171" s="13" t="n">
        <x:f t="shared" si="5">COUNT(E171:P171)</x:f>
        <x:v>12</x:v>
      </x:c>
      <x:c r="R171" s="13" t="n">
        <x:f t="shared" si="6">SUM(E171:P171)</x:f>
        <x:v>356</x:v>
      </x:c>
      <x:c r="S171" s="14" t="n">
        <x:f>IF(Q171&gt;0,R171/Q171,"")</x:f>
        <x:v>29.666666666666668</x:v>
      </x:c>
      <x:c r="T171" s="15">
        <x:v>4233888</x:v>
      </x:c>
      <x:c r="U171" s="15">
        <x:v>3042474</x:v>
      </x:c>
      <x:c r="V171" s="14">
        <x:v>56650001</x:v>
      </x:c>
      <x:c r="W171" s="14" t="n">
        <x:f>IF(AND(Q171&gt;0,S171&gt;0,V171&lt;&gt;""),V171/S171/Q171,"")</x:f>
        <x:v>159129.2162921348</x:v>
      </x:c>
      <x:c r="X171" s="3" t="s">
        <x:v>511</x:v>
      </x:c>
    </x:row>
    <x:row r="172">
      <x:c r="A172" s="12" t="s">
        <x:v>51</x:v>
      </x:c>
      <x:c r="B172" s="3" t="s">
        <x:v>52</x:v>
      </x:c>
      <x:c r="C172" s="4" t="s">
        <x:v>512</x:v>
      </x:c>
      <x:c r="D172" s="5">
        <x:v>306</x:v>
      </x:c>
      <x:c r="E172" s="13">
        <x:v>1</x:v>
      </x:c>
      <x:c r="F172" s="13">
        <x:v>1</x:v>
      </x:c>
      <x:c r="G172" s="13">
        <x:v>1</x:v>
      </x:c>
      <x:c r="H172" s="13">
        <x:v>8</x:v>
      </x:c>
      <x:c r="I172" s="13">
        <x:v>8</x:v>
      </x:c>
      <x:c r="J172" s="13">
        <x:v>8</x:v>
      </x:c>
      <x:c r="K172" s="13">
        <x:v>6</x:v>
      </x:c>
      <x:c r="L172" s="13">
        <x:v>6</x:v>
      </x:c>
      <x:c r="M172" s="13">
        <x:v>7</x:v>
      </x:c>
      <x:c r="N172" s="13">
        <x:v>2</x:v>
      </x:c>
      <x:c r="O172" s="13">
        <x:v>2</x:v>
      </x:c>
      <x:c r="P172" s="13">
        <x:v>2</x:v>
      </x:c>
      <x:c r="Q172" s="13" t="n">
        <x:f t="shared" si="5">COUNT(E172:P172)</x:f>
        <x:v>12</x:v>
      </x:c>
      <x:c r="R172" s="13" t="n">
        <x:f t="shared" si="6">SUM(E172:P172)</x:f>
        <x:v>52</x:v>
      </x:c>
      <x:c r="S172" s="14" t="n">
        <x:f>IF(Q172&gt;0,R172/Q172,"")</x:f>
        <x:v>4.333333333333333</x:v>
      </x:c>
      <x:c r="T172" s="15">
        <x:v>398466</x:v>
      </x:c>
      <x:c r="U172" s="15">
        <x:v>471346</x:v>
      </x:c>
      <x:c r="V172" s="14">
        <x:v>8240000</x:v>
      </x:c>
      <x:c r="W172" s="14" t="n">
        <x:f>IF(AND(Q172&gt;0,S172&gt;0,V172&lt;&gt;""),V172/S172/Q172,"")</x:f>
        <x:v>158461.53846153847</x:v>
      </x:c>
      <x:c r="X172" s="3" t="s">
        <x:v>513</x:v>
      </x:c>
    </x:row>
    <x:row r="173">
      <x:c r="A173" s="12" t="s">
        <x:v>71</x:v>
      </x:c>
      <x:c r="B173" s="3" t="s">
        <x:v>72</x:v>
      </x:c>
      <x:c r="C173" s="4" t="s">
        <x:v>514</x:v>
      </x:c>
      <x:c r="D173" s="5">
        <x:v>306</x:v>
      </x:c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>
        <x:v>19</x:v>
      </x:c>
      <x:c r="O173" s="13">
        <x:v>18</x:v>
      </x:c>
      <x:c r="P173" s="13">
        <x:v>15</x:v>
      </x:c>
      <x:c r="Q173" s="13" t="n">
        <x:f t="shared" si="5">COUNT(E173:P173)</x:f>
        <x:v>3</x:v>
      </x:c>
      <x:c r="R173" s="13" t="n">
        <x:f t="shared" si="6">SUM(E173:P173)</x:f>
        <x:v>52</x:v>
      </x:c>
      <x:c r="S173" s="14" t="n">
        <x:f>IF(Q173&gt;0,R173/Q173,"")</x:f>
        <x:v>17.333333333333332</x:v>
      </x:c>
      <x:c r="T173" s="15">
        <x:v>488747</x:v>
      </x:c>
      <x:c r="U173" s="15">
        <x:v>419962</x:v>
      </x:c>
      <x:c r="V173" s="14">
        <x:v>8056743</x:v>
      </x:c>
      <x:c r="W173" s="14" t="n">
        <x:f>IF(AND(Q173&gt;0,S173&gt;0,V173&lt;&gt;""),V173/S173/Q173,"")</x:f>
        <x:v>154937.3653846154</x:v>
      </x:c>
      <x:c r="X173" s="3" t="s">
        <x:v>515</x:v>
      </x:c>
    </x:row>
    <x:row r="174">
      <x:c r="A174" s="12" t="s">
        <x:v>259</x:v>
      </x:c>
      <x:c r="B174" s="3" t="s">
        <x:v>260</x:v>
      </x:c>
      <x:c r="C174" s="4" t="s">
        <x:v>516</x:v>
      </x:c>
      <x:c r="D174" s="5">
        <x:v>306</x:v>
      </x:c>
      <x:c r="E174" s="13">
        <x:v>7</x:v>
      </x:c>
      <x:c r="F174" s="13">
        <x:v>7</x:v>
      </x:c>
      <x:c r="G174" s="13">
        <x:v>7</x:v>
      </x:c>
      <x:c r="H174" s="13">
        <x:v>7</x:v>
      </x:c>
      <x:c r="I174" s="13">
        <x:v>7</x:v>
      </x:c>
      <x:c r="J174" s="13">
        <x:v>7</x:v>
      </x:c>
      <x:c r="K174" s="13">
        <x:v>7</x:v>
      </x:c>
      <x:c r="L174" s="13">
        <x:v>7</x:v>
      </x:c>
      <x:c r="M174" s="13">
        <x:v>7</x:v>
      </x:c>
      <x:c r="N174" s="13">
        <x:v>7</x:v>
      </x:c>
      <x:c r="O174" s="13">
        <x:v>7</x:v>
      </x:c>
      <x:c r="P174" s="13">
        <x:v>7</x:v>
      </x:c>
      <x:c r="Q174" s="13" t="n">
        <x:f t="shared" si="5">COUNT(E174:P174)</x:f>
        <x:v>12</x:v>
      </x:c>
      <x:c r="R174" s="13" t="n">
        <x:f t="shared" si="6">SUM(E174:P174)</x:f>
        <x:v>84</x:v>
      </x:c>
      <x:c r="S174" s="14" t="n">
        <x:f>IF(Q174&gt;0,R174/Q174,"")</x:f>
        <x:v>7</x:v>
      </x:c>
      <x:c r="T174" s="15">
        <x:v>802027</x:v>
      </x:c>
      <x:c r="U174" s="15">
        <x:v>669838</x:v>
      </x:c>
      <x:c r="V174" s="14">
        <x:v>12855118</x:v>
      </x:c>
      <x:c r="W174" s="14" t="n">
        <x:f>IF(AND(Q174&gt;0,S174&gt;0,V174&lt;&gt;""),V174/S174/Q174,"")</x:f>
        <x:v>153037.11904761905</x:v>
      </x:c>
      <x:c r="X174" s="3" t="s">
        <x:v>517</x:v>
      </x:c>
    </x:row>
    <x:row r="175">
      <x:c r="A175" s="12" t="s">
        <x:v>518</x:v>
      </x:c>
      <x:c r="B175" s="3" t="s">
        <x:v>519</x:v>
      </x:c>
      <x:c r="C175" s="4" t="s">
        <x:v>520</x:v>
      </x:c>
      <x:c r="D175" s="5">
        <x:v>306</x:v>
      </x:c>
      <x:c r="E175" s="13">
        <x:v>7</x:v>
      </x:c>
      <x:c r="F175" s="13">
        <x:v>7</x:v>
      </x:c>
      <x:c r="G175" s="13">
        <x:v>7</x:v>
      </x:c>
      <x:c r="H175" s="13">
        <x:v>6</x:v>
      </x:c>
      <x:c r="I175" s="13">
        <x:v>5</x:v>
      </x:c>
      <x:c r="J175" s="13">
        <x:v>6</x:v>
      </x:c>
      <x:c r="K175" s="13">
        <x:v>5</x:v>
      </x:c>
      <x:c r="L175" s="13">
        <x:v>4</x:v>
      </x:c>
      <x:c r="M175" s="13">
        <x:v>2</x:v>
      </x:c>
      <x:c r="N175" s="13">
        <x:v>2</x:v>
      </x:c>
      <x:c r="O175" s="13">
        <x:v>2</x:v>
      </x:c>
      <x:c r="P175" s="13">
        <x:v>3</x:v>
      </x:c>
      <x:c r="Q175" s="13" t="n">
        <x:f t="shared" si="5">COUNT(E175:P175)</x:f>
        <x:v>12</x:v>
      </x:c>
      <x:c r="R175" s="13" t="n">
        <x:f t="shared" si="6">SUM(E175:P175)</x:f>
        <x:v>56</x:v>
      </x:c>
      <x:c r="S175" s="14" t="n">
        <x:f>IF(Q175&gt;0,R175/Q175,"")</x:f>
        <x:v>4.666666666666667</x:v>
      </x:c>
      <x:c r="T175" s="15">
        <x:v>375736</x:v>
      </x:c>
      <x:c r="U175" s="15">
        <x:v>0</x:v>
      </x:c>
      <x:c r="V175" s="14">
        <x:v>8410000</x:v>
      </x:c>
      <x:c r="W175" s="14" t="n">
        <x:f>IF(AND(Q175&gt;0,S175&gt;0,V175&lt;&gt;""),V175/S175/Q175,"")</x:f>
        <x:v>150178.57142857142</x:v>
      </x:c>
      <x:c r="X175" s="3" t="s">
        <x:v>521</x:v>
      </x:c>
    </x:row>
    <x:row r="176">
      <x:c r="A176" s="12" t="s">
        <x:v>92</x:v>
      </x:c>
      <x:c r="B176" s="3" t="s">
        <x:v>93</x:v>
      </x:c>
      <x:c r="C176" s="4" t="s">
        <x:v>522</x:v>
      </x:c>
      <x:c r="D176" s="5">
        <x:v>306</x:v>
      </x:c>
      <x:c r="E176" s="13">
        <x:v>1</x:v>
      </x:c>
      <x:c r="F176" s="13">
        <x:v>1</x:v>
      </x:c>
      <x:c r="G176" s="13">
        <x:v>1</x:v>
      </x:c>
      <x:c r="H176" s="13">
        <x:v>1</x:v>
      </x:c>
      <x:c r="I176" s="13">
        <x:v>1</x:v>
      </x:c>
      <x:c r="J176" s="13">
        <x:v>1</x:v>
      </x:c>
      <x:c r="K176" s="13">
        <x:v>1</x:v>
      </x:c>
      <x:c r="L176" s="13">
        <x:v>1</x:v>
      </x:c>
      <x:c r="M176" s="13">
        <x:v>1</x:v>
      </x:c>
      <x:c r="N176" s="13">
        <x:v>1</x:v>
      </x:c>
      <x:c r="O176" s="13">
        <x:v>1</x:v>
      </x:c>
      <x:c r="P176" s="13">
        <x:v>1</x:v>
      </x:c>
      <x:c r="Q176" s="13" t="n">
        <x:f t="shared" si="5">COUNT(E176:P176)</x:f>
        <x:v>12</x:v>
      </x:c>
      <x:c r="R176" s="13" t="n">
        <x:f t="shared" si="6">SUM(E176:P176)</x:f>
        <x:v>12</x:v>
      </x:c>
      <x:c r="S176" s="14" t="n">
        <x:f>IF(Q176&gt;0,R176/Q176,"")</x:f>
        <x:v>1</x:v>
      </x:c>
      <x:c r="T176" s="15">
        <x:v>158400</x:v>
      </x:c>
      <x:c r="U176" s="15">
        <x:v>93780</x:v>
      </x:c>
      <x:c r="V176" s="14">
        <x:v>1800000</x:v>
      </x:c>
      <x:c r="W176" s="14" t="n">
        <x:f>IF(AND(Q176&gt;0,S176&gt;0,V176&lt;&gt;""),V176/S176/Q176,"")</x:f>
        <x:v>150000</x:v>
      </x:c>
      <x:c r="X176" s="3" t="s">
        <x:v>523</x:v>
      </x:c>
    </x:row>
    <x:row r="177">
      <x:c r="A177" s="12" t="s">
        <x:v>92</x:v>
      </x:c>
      <x:c r="B177" s="3" t="s">
        <x:v>93</x:v>
      </x:c>
      <x:c r="C177" s="4" t="s">
        <x:v>524</x:v>
      </x:c>
      <x:c r="D177" s="5">
        <x:v>306</x:v>
      </x:c>
      <x:c r="E177" s="13">
        <x:v>1</x:v>
      </x:c>
      <x:c r="F177" s="13">
        <x:v>1</x:v>
      </x:c>
      <x:c r="G177" s="13">
        <x:v>1</x:v>
      </x:c>
      <x:c r="H177" s="13">
        <x:v>1</x:v>
      </x:c>
      <x:c r="I177" s="13">
        <x:v>1</x:v>
      </x:c>
      <x:c r="J177" s="13">
        <x:v>1</x:v>
      </x:c>
      <x:c r="K177" s="13">
        <x:v>1</x:v>
      </x:c>
      <x:c r="L177" s="13">
        <x:v>1</x:v>
      </x:c>
      <x:c r="M177" s="13">
        <x:v>1</x:v>
      </x:c>
      <x:c r="N177" s="13">
        <x:v>1</x:v>
      </x:c>
      <x:c r="O177" s="13">
        <x:v>1</x:v>
      </x:c>
      <x:c r="P177" s="13">
        <x:v>1</x:v>
      </x:c>
      <x:c r="Q177" s="13" t="n">
        <x:f t="shared" si="5">COUNT(E177:P177)</x:f>
        <x:v>12</x:v>
      </x:c>
      <x:c r="R177" s="13" t="n">
        <x:f t="shared" si="6">SUM(E177:P177)</x:f>
        <x:v>12</x:v>
      </x:c>
      <x:c r="S177" s="14" t="n">
        <x:f>IF(Q177&gt;0,R177/Q177,"")</x:f>
        <x:v>1</x:v>
      </x:c>
      <x:c r="T177" s="15">
        <x:v>158400</x:v>
      </x:c>
      <x:c r="U177" s="15">
        <x:v>93780</x:v>
      </x:c>
      <x:c r="V177" s="14">
        <x:v>1800000</x:v>
      </x:c>
      <x:c r="W177" s="14" t="n">
        <x:f>IF(AND(Q177&gt;0,S177&gt;0,V177&lt;&gt;""),V177/S177/Q177,"")</x:f>
        <x:v>150000</x:v>
      </x:c>
      <x:c r="X177" s="3" t="s">
        <x:v>525</x:v>
      </x:c>
    </x:row>
    <x:row r="178">
      <x:c r="A178" s="12" t="s">
        <x:v>354</x:v>
      </x:c>
      <x:c r="B178" s="3" t="s">
        <x:v>355</x:v>
      </x:c>
      <x:c r="C178" s="4" t="s">
        <x:v>526</x:v>
      </x:c>
      <x:c r="D178" s="5">
        <x:v>306</x:v>
      </x:c>
      <x:c r="E178" s="13">
        <x:v>27</x:v>
      </x:c>
      <x:c r="F178" s="13">
        <x:v>31</x:v>
      </x:c>
      <x:c r="G178" s="13">
        <x:v>31</x:v>
      </x:c>
      <x:c r="H178" s="13">
        <x:v>33</x:v>
      </x:c>
      <x:c r="I178" s="13">
        <x:v>32</x:v>
      </x:c>
      <x:c r="J178" s="13">
        <x:v>3</x:v>
      </x:c>
      <x:c r="K178" s="13"/>
      <x:c r="L178" s="13"/>
      <x:c r="M178" s="13"/>
      <x:c r="N178" s="13">
        <x:v>22</x:v>
      </x:c>
      <x:c r="O178" s="13">
        <x:v>22</x:v>
      </x:c>
      <x:c r="P178" s="13">
        <x:v>22</x:v>
      </x:c>
      <x:c r="Q178" s="13" t="n">
        <x:f t="shared" si="5">COUNT(E178:P178)</x:f>
        <x:v>9</x:v>
      </x:c>
      <x:c r="R178" s="13" t="n">
        <x:f t="shared" si="6">SUM(E178:P178)</x:f>
        <x:v>223</x:v>
      </x:c>
      <x:c r="S178" s="14" t="n">
        <x:f>IF(Q178&gt;0,R178/Q178,"")</x:f>
        <x:v>24.77777777777778</x:v>
      </x:c>
      <x:c r="T178" s="15">
        <x:v>1748798</x:v>
      </x:c>
      <x:c r="U178" s="15">
        <x:v>0</x:v>
      </x:c>
      <x:c r="V178" s="14">
        <x:v>33375525</x:v>
      </x:c>
      <x:c r="W178" s="14" t="n">
        <x:f>IF(AND(Q178&gt;0,S178&gt;0,V178&lt;&gt;""),V178/S178/Q178,"")</x:f>
        <x:v>149666.03139013454</x:v>
      </x:c>
      <x:c r="X178" s="3" t="s">
        <x:v>527</x:v>
      </x:c>
    </x:row>
    <x:row r="179">
      <x:c r="A179" s="12" t="s">
        <x:v>259</x:v>
      </x:c>
      <x:c r="B179" s="3" t="s">
        <x:v>260</x:v>
      </x:c>
      <x:c r="C179" s="4" t="s">
        <x:v>528</x:v>
      </x:c>
      <x:c r="D179" s="5">
        <x:v>306</x:v>
      </x:c>
      <x:c r="E179" s="13">
        <x:v>9</x:v>
      </x:c>
      <x:c r="F179" s="13">
        <x:v>9</x:v>
      </x:c>
      <x:c r="G179" s="13">
        <x:v>9</x:v>
      </x:c>
      <x:c r="H179" s="13">
        <x:v>20</x:v>
      </x:c>
      <x:c r="I179" s="13">
        <x:v>20</x:v>
      </x:c>
      <x:c r="J179" s="13">
        <x:v>20</x:v>
      </x:c>
      <x:c r="K179" s="13">
        <x:v>10</x:v>
      </x:c>
      <x:c r="L179" s="13">
        <x:v>10</x:v>
      </x:c>
      <x:c r="M179" s="13">
        <x:v>10</x:v>
      </x:c>
      <x:c r="N179" s="13">
        <x:v>10</x:v>
      </x:c>
      <x:c r="O179" s="13">
        <x:v>10</x:v>
      </x:c>
      <x:c r="P179" s="13">
        <x:v>10</x:v>
      </x:c>
      <x:c r="Q179" s="13" t="n">
        <x:f t="shared" si="5">COUNT(E179:P179)</x:f>
        <x:v>12</x:v>
      </x:c>
      <x:c r="R179" s="13" t="n">
        <x:f t="shared" si="6">SUM(E179:P179)</x:f>
        <x:v>147</x:v>
      </x:c>
      <x:c r="S179" s="14" t="n">
        <x:f>IF(Q179&gt;0,R179/Q179,"")</x:f>
        <x:v>12.25</x:v>
      </x:c>
      <x:c r="T179" s="15">
        <x:v>1223261</x:v>
      </x:c>
      <x:c r="U179" s="15">
        <x:v>1152281</x:v>
      </x:c>
      <x:c r="V179" s="14">
        <x:v>21888725</x:v>
      </x:c>
      <x:c r="W179" s="14" t="n">
        <x:f>IF(AND(Q179&gt;0,S179&gt;0,V179&lt;&gt;""),V179/S179/Q179,"")</x:f>
        <x:v>148902.89115646257</x:v>
      </x:c>
      <x:c r="X179" s="3" t="s">
        <x:v>529</x:v>
      </x:c>
    </x:row>
    <x:row r="180">
      <x:c r="A180" s="12" t="s">
        <x:v>322</x:v>
      </x:c>
      <x:c r="B180" s="3" t="s">
        <x:v>436</x:v>
      </x:c>
      <x:c r="C180" s="4" t="s">
        <x:v>530</x:v>
      </x:c>
      <x:c r="D180" s="5">
        <x:v>306</x:v>
      </x:c>
      <x:c r="E180" s="13">
        <x:v>6</x:v>
      </x:c>
      <x:c r="F180" s="13">
        <x:v>6</x:v>
      </x:c>
      <x:c r="G180" s="13">
        <x:v>7</x:v>
      </x:c>
      <x:c r="H180" s="13">
        <x:v>7</x:v>
      </x:c>
      <x:c r="I180" s="13">
        <x:v>5</x:v>
      </x:c>
      <x:c r="J180" s="13">
        <x:v>5</x:v>
      </x:c>
      <x:c r="K180" s="13">
        <x:v>5</x:v>
      </x:c>
      <x:c r="L180" s="13">
        <x:v>5</x:v>
      </x:c>
      <x:c r="M180" s="13">
        <x:v>5</x:v>
      </x:c>
      <x:c r="N180" s="13">
        <x:v>5</x:v>
      </x:c>
      <x:c r="O180" s="13">
        <x:v>5</x:v>
      </x:c>
      <x:c r="P180" s="13">
        <x:v>5</x:v>
      </x:c>
      <x:c r="Q180" s="13" t="n">
        <x:f t="shared" si="5">COUNT(E180:P180)</x:f>
        <x:v>12</x:v>
      </x:c>
      <x:c r="R180" s="13" t="n">
        <x:f t="shared" si="6">SUM(E180:P180)</x:f>
        <x:v>66</x:v>
      </x:c>
      <x:c r="S180" s="14" t="n">
        <x:f>IF(Q180&gt;0,R180/Q180,"")</x:f>
        <x:v>5.5</x:v>
      </x:c>
      <x:c r="T180" s="15">
        <x:v>564472</x:v>
      </x:c>
      <x:c r="U180" s="15">
        <x:v>520037</x:v>
      </x:c>
      <x:c r="V180" s="14">
        <x:v>9799000</x:v>
      </x:c>
      <x:c r="W180" s="14" t="n">
        <x:f>IF(AND(Q180&gt;0,S180&gt;0,V180&lt;&gt;""),V180/S180/Q180,"")</x:f>
        <x:v>148469.69696969696</x:v>
      </x:c>
      <x:c r="X180" s="3" t="s">
        <x:v>531</x:v>
      </x:c>
    </x:row>
    <x:row r="181">
      <x:c r="A181" s="12" t="s">
        <x:v>236</x:v>
      </x:c>
      <x:c r="B181" s="3" t="s">
        <x:v>496</x:v>
      </x:c>
      <x:c r="C181" s="4" t="s">
        <x:v>532</x:v>
      </x:c>
      <x:c r="D181" s="5">
        <x:v>306</x:v>
      </x:c>
      <x:c r="E181" s="13">
        <x:v>22</x:v>
      </x:c>
      <x:c r="F181" s="13">
        <x:v>21</x:v>
      </x:c>
      <x:c r="G181" s="13">
        <x:v>18</x:v>
      </x:c>
      <x:c r="H181" s="13">
        <x:v>18</x:v>
      </x:c>
      <x:c r="I181" s="13">
        <x:v>20</x:v>
      </x:c>
      <x:c r="J181" s="13">
        <x:v>20</x:v>
      </x:c>
      <x:c r="K181" s="13">
        <x:v>23</x:v>
      </x:c>
      <x:c r="L181" s="13">
        <x:v>23</x:v>
      </x:c>
      <x:c r="M181" s="13">
        <x:v>23</x:v>
      </x:c>
      <x:c r="N181" s="13">
        <x:v>20</x:v>
      </x:c>
      <x:c r="O181" s="13">
        <x:v>22</x:v>
      </x:c>
      <x:c r="P181" s="13">
        <x:v>20</x:v>
      </x:c>
      <x:c r="Q181" s="13" t="n">
        <x:f t="shared" si="5">COUNT(E181:P181)</x:f>
        <x:v>12</x:v>
      </x:c>
      <x:c r="R181" s="13" t="n">
        <x:f t="shared" si="6">SUM(E181:P181)</x:f>
        <x:v>250</x:v>
      </x:c>
      <x:c r="S181" s="14" t="n">
        <x:f>IF(Q181&gt;0,R181/Q181,"")</x:f>
        <x:v>20.833333333333332</x:v>
      </x:c>
      <x:c r="T181" s="15">
        <x:v>1993673</x:v>
      </x:c>
      <x:c r="U181" s="15">
        <x:v>1936094</x:v>
      </x:c>
      <x:c r="V181" s="14">
        <x:v>36861584</x:v>
      </x:c>
      <x:c r="W181" s="14" t="n">
        <x:f>IF(AND(Q181&gt;0,S181&gt;0,V181&lt;&gt;""),V181/S181/Q181,"")</x:f>
        <x:v>147446.336</x:v>
      </x:c>
      <x:c r="X181" s="3" t="s">
        <x:v>533</x:v>
      </x:c>
    </x:row>
    <x:row r="182">
      <x:c r="A182" s="12" t="s">
        <x:v>534</x:v>
      </x:c>
      <x:c r="B182" s="3" t="s">
        <x:v>535</x:v>
      </x:c>
      <x:c r="C182" s="4" t="s">
        <x:v>536</x:v>
      </x:c>
      <x:c r="D182" s="5">
        <x:v>306</x:v>
      </x:c>
      <x:c r="E182" s="13">
        <x:v>3</x:v>
      </x:c>
      <x:c r="F182" s="13">
        <x:v>3</x:v>
      </x:c>
      <x:c r="G182" s="13">
        <x:v>3</x:v>
      </x:c>
      <x:c r="H182" s="13">
        <x:v>3</x:v>
      </x:c>
      <x:c r="I182" s="13">
        <x:v>3</x:v>
      </x:c>
      <x:c r="J182" s="13">
        <x:v>3</x:v>
      </x:c>
      <x:c r="K182" s="13">
        <x:v>3</x:v>
      </x:c>
      <x:c r="L182" s="13">
        <x:v>3</x:v>
      </x:c>
      <x:c r="M182" s="13">
        <x:v>3</x:v>
      </x:c>
      <x:c r="N182" s="13">
        <x:v>3</x:v>
      </x:c>
      <x:c r="O182" s="13">
        <x:v>3</x:v>
      </x:c>
      <x:c r="P182" s="13">
        <x:v>3</x:v>
      </x:c>
      <x:c r="Q182" s="13" t="n">
        <x:f t="shared" si="5">COUNT(E182:P182)</x:f>
        <x:v>12</x:v>
      </x:c>
      <x:c r="R182" s="13" t="n">
        <x:f t="shared" si="6">SUM(E182:P182)</x:f>
        <x:v>36</x:v>
      </x:c>
      <x:c r="S182" s="14" t="n">
        <x:f>IF(Q182&gt;0,R182/Q182,"")</x:f>
        <x:v>3</x:v>
      </x:c>
      <x:c r="T182" s="15">
        <x:v>259920</x:v>
      </x:c>
      <x:c r="U182" s="15">
        <x:v>264036</x:v>
      </x:c>
      <x:c r="V182" s="14">
        <x:v>5068104</x:v>
      </x:c>
      <x:c r="W182" s="14" t="n">
        <x:f>IF(AND(Q182&gt;0,S182&gt;0,V182&lt;&gt;""),V182/S182/Q182,"")</x:f>
        <x:v>140780.66666666666</x:v>
      </x:c>
      <x:c r="X182" s="3" t="s">
        <x:v>537</x:v>
      </x:c>
    </x:row>
    <x:row r="183">
      <x:c r="A183" s="12" t="s">
        <x:v>51</x:v>
      </x:c>
      <x:c r="B183" s="3" t="s">
        <x:v>52</x:v>
      </x:c>
      <x:c r="C183" s="4" t="s">
        <x:v>538</x:v>
      </x:c>
      <x:c r="D183" s="5">
        <x:v>306</x:v>
      </x:c>
      <x:c r="E183" s="13">
        <x:v>4</x:v>
      </x:c>
      <x:c r="F183" s="13">
        <x:v>4</x:v>
      </x:c>
      <x:c r="G183" s="13">
        <x:v>3</x:v>
      </x:c>
      <x:c r="H183" s="13">
        <x:v>3</x:v>
      </x:c>
      <x:c r="I183" s="13">
        <x:v>4</x:v>
      </x:c>
      <x:c r="J183" s="13">
        <x:v>4</x:v>
      </x:c>
      <x:c r="K183" s="13">
        <x:v>4</x:v>
      </x:c>
      <x:c r="L183" s="13">
        <x:v>4</x:v>
      </x:c>
      <x:c r="M183" s="13">
        <x:v>4</x:v>
      </x:c>
      <x:c r="N183" s="13">
        <x:v>4</x:v>
      </x:c>
      <x:c r="O183" s="13">
        <x:v>4</x:v>
      </x:c>
      <x:c r="P183" s="13">
        <x:v>4</x:v>
      </x:c>
      <x:c r="Q183" s="13" t="n">
        <x:f t="shared" si="5">COUNT(E183:P183)</x:f>
        <x:v>12</x:v>
      </x:c>
      <x:c r="R183" s="13" t="n">
        <x:f t="shared" si="6">SUM(E183:P183)</x:f>
        <x:v>46</x:v>
      </x:c>
      <x:c r="S183" s="14" t="n">
        <x:f>IF(Q183&gt;0,R183/Q183,"")</x:f>
        <x:v>3.8333333333333335</x:v>
      </x:c>
      <x:c r="T183" s="15">
        <x:v>442793</x:v>
      </x:c>
      <x:c r="U183" s="15">
        <x:v>0</x:v>
      </x:c>
      <x:c r="V183" s="14">
        <x:v>6448731</x:v>
      </x:c>
      <x:c r="W183" s="14" t="n">
        <x:f>IF(AND(Q183&gt;0,S183&gt;0,V183&lt;&gt;""),V183/S183/Q183,"")</x:f>
        <x:v>140189.80434782608</x:v>
      </x:c>
      <x:c r="X183" s="3" t="s">
        <x:v>539</x:v>
      </x:c>
    </x:row>
    <x:row r="184">
      <x:c r="A184" s="12" t="s">
        <x:v>540</x:v>
      </x:c>
      <x:c r="B184" s="3" t="s">
        <x:v>541</x:v>
      </x:c>
      <x:c r="C184" s="4" t="s">
        <x:v>542</x:v>
      </x:c>
      <x:c r="D184" s="5">
        <x:v>306</x:v>
      </x:c>
      <x:c r="E184" s="13">
        <x:v>1</x:v>
      </x:c>
      <x:c r="F184" s="13">
        <x:v>1</x:v>
      </x:c>
      <x:c r="G184" s="13">
        <x:v>1</x:v>
      </x:c>
      <x:c r="H184" s="13">
        <x:v>1</x:v>
      </x:c>
      <x:c r="I184" s="13">
        <x:v>1</x:v>
      </x:c>
      <x:c r="J184" s="13">
        <x:v>1</x:v>
      </x:c>
      <x:c r="K184" s="13">
        <x:v>1</x:v>
      </x:c>
      <x:c r="L184" s="13">
        <x:v>1</x:v>
      </x:c>
      <x:c r="M184" s="13">
        <x:v>1</x:v>
      </x:c>
      <x:c r="N184" s="13">
        <x:v>1</x:v>
      </x:c>
      <x:c r="O184" s="13">
        <x:v>1</x:v>
      </x:c>
      <x:c r="P184" s="13">
        <x:v>1</x:v>
      </x:c>
      <x:c r="Q184" s="13" t="n">
        <x:f t="shared" si="5">COUNT(E184:P184)</x:f>
        <x:v>12</x:v>
      </x:c>
      <x:c r="R184" s="13" t="n">
        <x:f t="shared" si="6">SUM(E184:P184)</x:f>
        <x:v>12</x:v>
      </x:c>
      <x:c r="S184" s="14" t="n">
        <x:f>IF(Q184&gt;0,R184/Q184,"")</x:f>
        <x:v>1</x:v>
      </x:c>
      <x:c r="T184" s="15">
        <x:v>147923</x:v>
      </x:c>
      <x:c r="U184" s="15">
        <x:v>87577</x:v>
      </x:c>
      <x:c r="V184" s="14">
        <x:v>1680952</x:v>
      </x:c>
      <x:c r="W184" s="14" t="n">
        <x:f>IF(AND(Q184&gt;0,S184&gt;0,V184&lt;&gt;""),V184/S184/Q184,"")</x:f>
        <x:v>140079.33333333334</x:v>
      </x:c>
      <x:c r="X184" s="3" t="s">
        <x:v>543</x:v>
      </x:c>
    </x:row>
    <x:row r="185">
      <x:c r="A185" s="12" t="s">
        <x:v>71</x:v>
      </x:c>
      <x:c r="B185" s="3" t="s">
        <x:v>72</x:v>
      </x:c>
      <x:c r="C185" s="4" t="s">
        <x:v>544</x:v>
      </x:c>
      <x:c r="D185" s="5">
        <x:v>306</x:v>
      </x:c>
      <x:c r="E185" s="13">
        <x:v>9</x:v>
      </x:c>
      <x:c r="F185" s="13">
        <x:v>9</x:v>
      </x:c>
      <x:c r="G185" s="13">
        <x:v>7</x:v>
      </x:c>
      <x:c r="H185" s="13">
        <x:v>7</x:v>
      </x:c>
      <x:c r="I185" s="13">
        <x:v>7</x:v>
      </x:c>
      <x:c r="J185" s="13">
        <x:v>7</x:v>
      </x:c>
      <x:c r="K185" s="13">
        <x:v>7</x:v>
      </x:c>
      <x:c r="L185" s="13">
        <x:v>7</x:v>
      </x:c>
      <x:c r="M185" s="13">
        <x:v>7</x:v>
      </x:c>
      <x:c r="N185" s="13">
        <x:v>7</x:v>
      </x:c>
      <x:c r="O185" s="13">
        <x:v>7</x:v>
      </x:c>
      <x:c r="P185" s="13">
        <x:v>7</x:v>
      </x:c>
      <x:c r="Q185" s="13" t="n">
        <x:f t="shared" si="5">COUNT(E185:P185)</x:f>
        <x:v>12</x:v>
      </x:c>
      <x:c r="R185" s="13" t="n">
        <x:f t="shared" si="6">SUM(E185:P185)</x:f>
        <x:v>88</x:v>
      </x:c>
      <x:c r="S185" s="14" t="n">
        <x:f>IF(Q185&gt;0,R185/Q185,"")</x:f>
        <x:v>7.333333333333333</x:v>
      </x:c>
      <x:c r="T185" s="15">
        <x:v>623628</x:v>
      </x:c>
      <x:c r="U185" s="15">
        <x:v>655091</x:v>
      </x:c>
      <x:c r="V185" s="14">
        <x:v>12192943</x:v>
      </x:c>
      <x:c r="W185" s="14" t="n">
        <x:f>IF(AND(Q185&gt;0,S185&gt;0,V185&lt;&gt;""),V185/S185/Q185,"")</x:f>
        <x:v>138556.17045454544</x:v>
      </x:c>
      <x:c r="X185" s="3" t="s">
        <x:v>545</x:v>
      </x:c>
    </x:row>
    <x:row r="186">
      <x:c r="A186" s="12" t="s">
        <x:v>158</x:v>
      </x:c>
      <x:c r="B186" s="3" t="s">
        <x:v>159</x:v>
      </x:c>
      <x:c r="C186" s="4" t="s">
        <x:v>546</x:v>
      </x:c>
      <x:c r="D186" s="5">
        <x:v>306</x:v>
      </x:c>
      <x:c r="E186" s="13">
        <x:v>6</x:v>
      </x:c>
      <x:c r="F186" s="13">
        <x:v>6</x:v>
      </x:c>
      <x:c r="G186" s="13">
        <x:v>6</x:v>
      </x:c>
      <x:c r="H186" s="13">
        <x:v>6</x:v>
      </x:c>
      <x:c r="I186" s="13">
        <x:v>6</x:v>
      </x:c>
      <x:c r="J186" s="13">
        <x:v>6</x:v>
      </x:c>
      <x:c r="K186" s="13"/>
      <x:c r="L186" s="13"/>
      <x:c r="M186" s="13"/>
      <x:c r="N186" s="13"/>
      <x:c r="O186" s="13"/>
      <x:c r="P186" s="13"/>
      <x:c r="Q186" s="13" t="n">
        <x:f t="shared" si="5">COUNT(E186:P186)</x:f>
        <x:v>6</x:v>
      </x:c>
      <x:c r="R186" s="13" t="n">
        <x:f t="shared" si="6">SUM(E186:P186)</x:f>
        <x:v>36</x:v>
      </x:c>
      <x:c r="S186" s="14" t="n">
        <x:f>IF(Q186&gt;0,R186/Q186,"")</x:f>
        <x:v>6</x:v>
      </x:c>
      <x:c r="T186" s="15">
        <x:v>322240</x:v>
      </x:c>
      <x:c r="U186" s="15">
        <x:v>255602</x:v>
      </x:c>
      <x:c r="V186" s="14">
        <x:v>4924983</x:v>
      </x:c>
      <x:c r="W186" s="14" t="n">
        <x:f>IF(AND(Q186&gt;0,S186&gt;0,V186&lt;&gt;""),V186/S186/Q186,"")</x:f>
        <x:v>136805.08333333334</x:v>
      </x:c>
      <x:c r="X186" s="3" t="s">
        <x:v>547</x:v>
      </x:c>
    </x:row>
    <x:row r="187">
      <x:c r="A187" s="12" t="s">
        <x:v>548</x:v>
      </x:c>
      <x:c r="B187" s="3" t="s">
        <x:v>549</x:v>
      </x:c>
      <x:c r="C187" s="4" t="s">
        <x:v>550</x:v>
      </x:c>
      <x:c r="D187" s="5">
        <x:v>306</x:v>
      </x:c>
      <x:c r="E187" s="13">
        <x:v>1</x:v>
      </x:c>
      <x:c r="F187" s="13">
        <x:v>1</x:v>
      </x:c>
      <x:c r="G187" s="13">
        <x:v>1</x:v>
      </x:c>
      <x:c r="H187" s="13">
        <x:v>1</x:v>
      </x:c>
      <x:c r="I187" s="13">
        <x:v>3</x:v>
      </x:c>
      <x:c r="J187" s="13">
        <x:v>3</x:v>
      </x:c>
      <x:c r="K187" s="13">
        <x:v>3</x:v>
      </x:c>
      <x:c r="L187" s="13">
        <x:v>3</x:v>
      </x:c>
      <x:c r="M187" s="13">
        <x:v>3</x:v>
      </x:c>
      <x:c r="N187" s="13">
        <x:v>3</x:v>
      </x:c>
      <x:c r="O187" s="13">
        <x:v>3</x:v>
      </x:c>
      <x:c r="P187" s="13">
        <x:v>3</x:v>
      </x:c>
      <x:c r="Q187" s="13" t="n">
        <x:f t="shared" si="5">COUNT(E187:P187)</x:f>
        <x:v>12</x:v>
      </x:c>
      <x:c r="R187" s="13" t="n">
        <x:f t="shared" si="6">SUM(E187:P187)</x:f>
        <x:v>28</x:v>
      </x:c>
      <x:c r="S187" s="14" t="n">
        <x:f>IF(Q187&gt;0,R187/Q187,"")</x:f>
        <x:v>2.3333333333333335</x:v>
      </x:c>
      <x:c r="T187" s="15">
        <x:v>181797</x:v>
      </x:c>
      <x:c r="U187" s="15">
        <x:v>196857</x:v>
      </x:c>
      <x:c r="V187" s="14">
        <x:v>3821667</x:v>
      </x:c>
      <x:c r="W187" s="14" t="n">
        <x:f>IF(AND(Q187&gt;0,S187&gt;0,V187&lt;&gt;""),V187/S187/Q187,"")</x:f>
        <x:v>136488.10714285713</x:v>
      </x:c>
      <x:c r="X187" s="3" t="s">
        <x:v>551</x:v>
      </x:c>
    </x:row>
    <x:row r="188">
      <x:c r="A188" s="12" t="s">
        <x:v>236</x:v>
      </x:c>
      <x:c r="B188" s="3" t="s">
        <x:v>496</x:v>
      </x:c>
      <x:c r="C188" s="4" t="s">
        <x:v>552</x:v>
      </x:c>
      <x:c r="D188" s="5">
        <x:v>306</x:v>
      </x:c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>
        <x:v>4</x:v>
      </x:c>
      <x:c r="Q188" s="13" t="n">
        <x:f t="shared" si="5">COUNT(E188:P188)</x:f>
        <x:v>1</x:v>
      </x:c>
      <x:c r="R188" s="13" t="n">
        <x:f t="shared" si="6">SUM(E188:P188)</x:f>
        <x:v>4</x:v>
      </x:c>
      <x:c r="S188" s="14" t="n">
        <x:f>IF(Q188&gt;0,R188/Q188,"")</x:f>
        <x:v>4</x:v>
      </x:c>
      <x:c r="T188" s="15">
        <x:v>27108</x:v>
      </x:c>
      <x:c r="U188" s="15">
        <x:v>28289</x:v>
      </x:c>
      <x:c r="V188" s="14">
        <x:v>543000</x:v>
      </x:c>
      <x:c r="W188" s="14" t="n">
        <x:f>IF(AND(Q188&gt;0,S188&gt;0,V188&lt;&gt;""),V188/S188/Q188,"")</x:f>
        <x:v>135750</x:v>
      </x:c>
      <x:c r="X188" s="3" t="s">
        <x:v>553</x:v>
      </x:c>
    </x:row>
    <x:row r="189">
      <x:c r="A189" s="12" t="s">
        <x:v>51</x:v>
      </x:c>
      <x:c r="B189" s="3" t="s">
        <x:v>52</x:v>
      </x:c>
      <x:c r="C189" s="4" t="s">
        <x:v>554</x:v>
      </x:c>
      <x:c r="D189" s="5">
        <x:v>306</x:v>
      </x:c>
      <x:c r="E189" s="13"/>
      <x:c r="F189" s="13"/>
      <x:c r="G189" s="13"/>
      <x:c r="H189" s="13">
        <x:v>3</x:v>
      </x:c>
      <x:c r="I189" s="13">
        <x:v>3</x:v>
      </x:c>
      <x:c r="J189" s="13">
        <x:v>3</x:v>
      </x:c>
      <x:c r="K189" s="13">
        <x:v>3</x:v>
      </x:c>
      <x:c r="L189" s="13">
        <x:v>4</x:v>
      </x:c>
      <x:c r="M189" s="13">
        <x:v>4</x:v>
      </x:c>
      <x:c r="N189" s="13">
        <x:v>3</x:v>
      </x:c>
      <x:c r="O189" s="13">
        <x:v>2</x:v>
      </x:c>
      <x:c r="P189" s="13">
        <x:v>2</x:v>
      </x:c>
      <x:c r="Q189" s="13" t="n">
        <x:f t="shared" si="5">COUNT(E189:P189)</x:f>
        <x:v>9</x:v>
      </x:c>
      <x:c r="R189" s="13" t="n">
        <x:f t="shared" si="6">SUM(E189:P189)</x:f>
        <x:v>27</x:v>
      </x:c>
      <x:c r="S189" s="14" t="n">
        <x:f>IF(Q189&gt;0,R189/Q189,"")</x:f>
        <x:v>3</x:v>
      </x:c>
      <x:c r="T189" s="15">
        <x:v>239186</x:v>
      </x:c>
      <x:c r="U189" s="15">
        <x:v>202935</x:v>
      </x:c>
      <x:c r="V189" s="14">
        <x:v>3645000</x:v>
      </x:c>
      <x:c r="W189" s="14" t="n">
        <x:f>IF(AND(Q189&gt;0,S189&gt;0,V189&lt;&gt;""),V189/S189/Q189,"")</x:f>
        <x:v>135000</x:v>
      </x:c>
      <x:c r="X189" s="3" t="s">
        <x:v>555</x:v>
      </x:c>
    </x:row>
    <x:row r="190">
      <x:c r="A190" s="12" t="s">
        <x:v>236</x:v>
      </x:c>
      <x:c r="B190" s="3" t="s">
        <x:v>496</x:v>
      </x:c>
      <x:c r="C190" s="4" t="s">
        <x:v>556</x:v>
      </x:c>
      <x:c r="D190" s="5">
        <x:v>306</x:v>
      </x:c>
      <x:c r="E190" s="13">
        <x:v>71</x:v>
      </x:c>
      <x:c r="F190" s="13">
        <x:v>73</x:v>
      </x:c>
      <x:c r="G190" s="13">
        <x:v>73</x:v>
      </x:c>
      <x:c r="H190" s="13">
        <x:v>72</x:v>
      </x:c>
      <x:c r="I190" s="13">
        <x:v>71</x:v>
      </x:c>
      <x:c r="J190" s="13">
        <x:v>69</x:v>
      </x:c>
      <x:c r="K190" s="13">
        <x:v>64</x:v>
      </x:c>
      <x:c r="L190" s="13">
        <x:v>64</x:v>
      </x:c>
      <x:c r="M190" s="13">
        <x:v>68</x:v>
      </x:c>
      <x:c r="N190" s="13">
        <x:v>69</x:v>
      </x:c>
      <x:c r="O190" s="13">
        <x:v>69</x:v>
      </x:c>
      <x:c r="P190" s="13">
        <x:v>69</x:v>
      </x:c>
      <x:c r="Q190" s="13" t="n">
        <x:f t="shared" si="5">COUNT(E190:P190)</x:f>
        <x:v>12</x:v>
      </x:c>
      <x:c r="R190" s="13" t="n">
        <x:f t="shared" si="6">SUM(E190:P190)</x:f>
        <x:v>832</x:v>
      </x:c>
      <x:c r="S190" s="14" t="n">
        <x:f>IF(Q190&gt;0,R190/Q190,"")</x:f>
        <x:v>69.33333333333333</x:v>
      </x:c>
      <x:c r="T190" s="15">
        <x:v>5414514</x:v>
      </x:c>
      <x:c r="U190" s="15">
        <x:v>5660317</x:v>
      </x:c>
      <x:c r="V190" s="14">
        <x:v>110845603</x:v>
      </x:c>
      <x:c r="W190" s="14" t="n">
        <x:f>IF(AND(Q190&gt;0,S190&gt;0,V190&lt;&gt;""),V190/S190/Q190,"")</x:f>
        <x:v>133227.88822115384</x:v>
      </x:c>
      <x:c r="X190" s="3" t="s">
        <x:v>557</x:v>
      </x:c>
    </x:row>
    <x:row r="191">
      <x:c r="A191" s="12" t="s">
        <x:v>558</x:v>
      </x:c>
      <x:c r="B191" s="3" t="s">
        <x:v>559</x:v>
      </x:c>
      <x:c r="C191" s="4" t="s">
        <x:v>560</x:v>
      </x:c>
      <x:c r="D191" s="5">
        <x:v>306</x:v>
      </x:c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>
        <x:v>5</x:v>
      </x:c>
      <x:c r="O191" s="13">
        <x:v>5</x:v>
      </x:c>
      <x:c r="P191" s="13">
        <x:v>5</x:v>
      </x:c>
      <x:c r="Q191" s="13" t="n">
        <x:f t="shared" si="5">COUNT(E191:P191)</x:f>
        <x:v>3</x:v>
      </x:c>
      <x:c r="R191" s="13" t="n">
        <x:f t="shared" si="6">SUM(E191:P191)</x:f>
        <x:v>15</x:v>
      </x:c>
      <x:c r="S191" s="14" t="n">
        <x:f>IF(Q191&gt;0,R191/Q191,"")</x:f>
        <x:v>5</x:v>
      </x:c>
      <x:c r="T191" s="15">
        <x:v>66465</x:v>
      </x:c>
      <x:c r="U191" s="15">
        <x:v>96462</x:v>
      </x:c>
      <x:c r="V191" s="14">
        <x:v>1920000</x:v>
      </x:c>
      <x:c r="W191" s="14" t="n">
        <x:f>IF(AND(Q191&gt;0,S191&gt;0,V191&lt;&gt;""),V191/S191/Q191,"")</x:f>
        <x:v>128000</x:v>
      </x:c>
      <x:c r="X191" s="3" t="s">
        <x:v>561</x:v>
      </x:c>
    </x:row>
    <x:row r="192">
      <x:c r="A192" s="12" t="s">
        <x:v>562</x:v>
      </x:c>
      <x:c r="B192" s="3" t="s">
        <x:v>563</x:v>
      </x:c>
      <x:c r="C192" s="4" t="s">
        <x:v>564</x:v>
      </x:c>
      <x:c r="D192" s="5">
        <x:v>306</x:v>
      </x:c>
      <x:c r="E192" s="13">
        <x:v>5</x:v>
      </x:c>
      <x:c r="F192" s="13">
        <x:v>5</x:v>
      </x:c>
      <x:c r="G192" s="13">
        <x:v>5</x:v>
      </x:c>
      <x:c r="H192" s="13">
        <x:v>3</x:v>
      </x:c>
      <x:c r="I192" s="13">
        <x:v>4</x:v>
      </x:c>
      <x:c r="J192" s="13">
        <x:v>4</x:v>
      </x:c>
      <x:c r="K192" s="13">
        <x:v>5</x:v>
      </x:c>
      <x:c r="L192" s="13">
        <x:v>5</x:v>
      </x:c>
      <x:c r="M192" s="13">
        <x:v>4</x:v>
      </x:c>
      <x:c r="N192" s="13"/>
      <x:c r="O192" s="13"/>
      <x:c r="P192" s="13"/>
      <x:c r="Q192" s="13" t="n">
        <x:f t="shared" si="5">COUNT(E192:P192)</x:f>
        <x:v>9</x:v>
      </x:c>
      <x:c r="R192" s="13" t="n">
        <x:f t="shared" si="6">SUM(E192:P192)</x:f>
        <x:v>40</x:v>
      </x:c>
      <x:c r="S192" s="14" t="n">
        <x:f>IF(Q192&gt;0,R192/Q192,"")</x:f>
        <x:v>4.444444444444445</x:v>
      </x:c>
      <x:c r="T192" s="15">
        <x:v>308203</x:v>
      </x:c>
      <x:c r="U192" s="15">
        <x:v>261636</x:v>
      </x:c>
      <x:c r="V192" s="14">
        <x:v>5110000</x:v>
      </x:c>
      <x:c r="W192" s="14" t="n">
        <x:f>IF(AND(Q192&gt;0,S192&gt;0,V192&lt;&gt;""),V192/S192/Q192,"")</x:f>
        <x:v>127750</x:v>
      </x:c>
      <x:c r="X192" s="3" t="s">
        <x:v>565</x:v>
      </x:c>
    </x:row>
    <x:row r="193">
      <x:c r="A193" s="12" t="s">
        <x:v>566</x:v>
      </x:c>
      <x:c r="B193" s="3" t="s">
        <x:v>567</x:v>
      </x:c>
      <x:c r="C193" s="4" t="s">
        <x:v>568</x:v>
      </x:c>
      <x:c r="D193" s="5">
        <x:v>306</x:v>
      </x:c>
      <x:c r="E193" s="13">
        <x:v>19</x:v>
      </x:c>
      <x:c r="F193" s="13">
        <x:v>18</x:v>
      </x:c>
      <x:c r="G193" s="13">
        <x:v>18</x:v>
      </x:c>
      <x:c r="H193" s="13">
        <x:v>18</x:v>
      </x:c>
      <x:c r="I193" s="13">
        <x:v>17</x:v>
      </x:c>
      <x:c r="J193" s="13">
        <x:v>18</x:v>
      </x:c>
      <x:c r="K193" s="13">
        <x:v>19</x:v>
      </x:c>
      <x:c r="L193" s="13">
        <x:v>20</x:v>
      </x:c>
      <x:c r="M193" s="13">
        <x:v>19</x:v>
      </x:c>
      <x:c r="N193" s="13">
        <x:v>20</x:v>
      </x:c>
      <x:c r="O193" s="13">
        <x:v>20</x:v>
      </x:c>
      <x:c r="P193" s="13">
        <x:v>20</x:v>
      </x:c>
      <x:c r="Q193" s="13" t="n">
        <x:f t="shared" si="5">COUNT(E193:P193)</x:f>
        <x:v>12</x:v>
      </x:c>
      <x:c r="R193" s="13" t="n">
        <x:f t="shared" si="6">SUM(E193:P193)</x:f>
        <x:v>226</x:v>
      </x:c>
      <x:c r="S193" s="14" t="n">
        <x:f>IF(Q193&gt;0,R193/Q193,"")</x:f>
        <x:v>18.833333333333332</x:v>
      </x:c>
      <x:c r="T193" s="15">
        <x:v>1265296</x:v>
      </x:c>
      <x:c r="U193" s="15">
        <x:v>1523849</x:v>
      </x:c>
      <x:c r="V193" s="14">
        <x:v>28666184</x:v>
      </x:c>
      <x:c r="W193" s="14" t="n">
        <x:f>IF(AND(Q193&gt;0,S193&gt;0,V193&lt;&gt;""),V193/S193/Q193,"")</x:f>
        <x:v>126841.52212389382</x:v>
      </x:c>
      <x:c r="X193" s="3" t="s">
        <x:v>569</x:v>
      </x:c>
    </x:row>
    <x:row r="194">
      <x:c r="A194" s="12" t="s">
        <x:v>462</x:v>
      </x:c>
      <x:c r="B194" s="3" t="s">
        <x:v>570</x:v>
      </x:c>
      <x:c r="C194" s="4" t="s">
        <x:v>571</x:v>
      </x:c>
      <x:c r="D194" s="5">
        <x:v>306</x:v>
      </x:c>
      <x:c r="E194" s="13">
        <x:v>4</x:v>
      </x:c>
      <x:c r="F194" s="13">
        <x:v>4</x:v>
      </x:c>
      <x:c r="G194" s="13">
        <x:v>3</x:v>
      </x:c>
      <x:c r="H194" s="13">
        <x:v>4</x:v>
      </x:c>
      <x:c r="I194" s="13">
        <x:v>4</x:v>
      </x:c>
      <x:c r="J194" s="13">
        <x:v>4</x:v>
      </x:c>
      <x:c r="K194" s="13">
        <x:v>4</x:v>
      </x:c>
      <x:c r="L194" s="13">
        <x:v>3</x:v>
      </x:c>
      <x:c r="M194" s="13">
        <x:v>3</x:v>
      </x:c>
      <x:c r="N194" s="13">
        <x:v>4</x:v>
      </x:c>
      <x:c r="O194" s="13">
        <x:v>4</x:v>
      </x:c>
      <x:c r="P194" s="13">
        <x:v>4</x:v>
      </x:c>
      <x:c r="Q194" s="13" t="n">
        <x:f t="shared" si="5">COUNT(E194:P194)</x:f>
        <x:v>12</x:v>
      </x:c>
      <x:c r="R194" s="13" t="n">
        <x:f t="shared" si="6">SUM(E194:P194)</x:f>
        <x:v>45</x:v>
      </x:c>
      <x:c r="S194" s="14" t="n">
        <x:f>IF(Q194&gt;0,R194/Q194,"")</x:f>
        <x:v>3.75</x:v>
      </x:c>
      <x:c r="T194" s="15">
        <x:v>260795</x:v>
      </x:c>
      <x:c r="U194" s="15">
        <x:v>292330</x:v>
      </x:c>
      <x:c r="V194" s="14">
        <x:v>5600000</x:v>
      </x:c>
      <x:c r="W194" s="14" t="n">
        <x:f>IF(AND(Q194&gt;0,S194&gt;0,V194&lt;&gt;""),V194/S194/Q194,"")</x:f>
        <x:v>124444.44444444444</x:v>
      </x:c>
      <x:c r="X194" s="3" t="s">
        <x:v>572</x:v>
      </x:c>
    </x:row>
    <x:row r="195">
      <x:c r="A195" s="12" t="s">
        <x:v>51</x:v>
      </x:c>
      <x:c r="B195" s="3" t="s">
        <x:v>52</x:v>
      </x:c>
      <x:c r="C195" s="4" t="s">
        <x:v>573</x:v>
      </x:c>
      <x:c r="D195" s="5">
        <x:v>306</x:v>
      </x:c>
      <x:c r="E195" s="13">
        <x:v>18</x:v>
      </x:c>
      <x:c r="F195" s="13">
        <x:v>16</x:v>
      </x:c>
      <x:c r="G195" s="13">
        <x:v>18</x:v>
      </x:c>
      <x:c r="H195" s="13">
        <x:v>25</x:v>
      </x:c>
      <x:c r="I195" s="13">
        <x:v>25</x:v>
      </x:c>
      <x:c r="J195" s="13">
        <x:v>25</x:v>
      </x:c>
      <x:c r="K195" s="13">
        <x:v>25</x:v>
      </x:c>
      <x:c r="L195" s="13">
        <x:v>25</x:v>
      </x:c>
      <x:c r="M195" s="13">
        <x:v>25</x:v>
      </x:c>
      <x:c r="N195" s="13"/>
      <x:c r="O195" s="13"/>
      <x:c r="P195" s="13"/>
      <x:c r="Q195" s="13" t="n">
        <x:f t="shared" si="5">COUNT(E195:P195)</x:f>
        <x:v>9</x:v>
      </x:c>
      <x:c r="R195" s="13" t="n">
        <x:f t="shared" si="6">SUM(E195:P195)</x:f>
        <x:v>202</x:v>
      </x:c>
      <x:c r="S195" s="14" t="n">
        <x:f>IF(Q195&gt;0,R195/Q195,"")</x:f>
        <x:v>22.444444444444443</x:v>
      </x:c>
      <x:c r="T195" s="15">
        <x:v>2781719</x:v>
      </x:c>
      <x:c r="U195" s="15">
        <x:v>0</x:v>
      </x:c>
      <x:c r="V195" s="14">
        <x:v>25052575</x:v>
      </x:c>
      <x:c r="W195" s="14" t="n">
        <x:f>IF(AND(Q195&gt;0,S195&gt;0,V195&lt;&gt;""),V195/S195/Q195,"")</x:f>
        <x:v>124022.64851485149</x:v>
      </x:c>
      <x:c r="X195" s="3" t="s">
        <x:v>574</x:v>
      </x:c>
    </x:row>
    <x:row r="196">
      <x:c r="A196" s="12" t="s">
        <x:v>51</x:v>
      </x:c>
      <x:c r="B196" s="3" t="s">
        <x:v>52</x:v>
      </x:c>
      <x:c r="C196" s="4" t="s">
        <x:v>575</x:v>
      </x:c>
      <x:c r="D196" s="5">
        <x:v>306</x:v>
      </x:c>
      <x:c r="E196" s="13">
        <x:v>5</x:v>
      </x:c>
      <x:c r="F196" s="13">
        <x:v>5</x:v>
      </x:c>
      <x:c r="G196" s="13">
        <x:v>5</x:v>
      </x:c>
      <x:c r="H196" s="13">
        <x:v>5</x:v>
      </x:c>
      <x:c r="I196" s="13">
        <x:v>5</x:v>
      </x:c>
      <x:c r="J196" s="13">
        <x:v>5</x:v>
      </x:c>
      <x:c r="K196" s="13">
        <x:v>5</x:v>
      </x:c>
      <x:c r="L196" s="13">
        <x:v>5</x:v>
      </x:c>
      <x:c r="M196" s="13">
        <x:v>5</x:v>
      </x:c>
      <x:c r="N196" s="13">
        <x:v>5</x:v>
      </x:c>
      <x:c r="O196" s="13">
        <x:v>5</x:v>
      </x:c>
      <x:c r="P196" s="13">
        <x:v>5</x:v>
      </x:c>
      <x:c r="Q196" s="13" t="n">
        <x:f t="shared" ref="Q196:Q259" si="7">COUNT(E196:P196)</x:f>
        <x:v>12</x:v>
      </x:c>
      <x:c r="R196" s="13" t="n">
        <x:f t="shared" ref="R196:R259" si="8">SUM(E196:P196)</x:f>
        <x:v>60</x:v>
      </x:c>
      <x:c r="S196" s="14" t="n">
        <x:f>IF(Q196&gt;0,R196/Q196,"")</x:f>
        <x:v>5</x:v>
      </x:c>
      <x:c r="T196" s="15">
        <x:v>256860</x:v>
      </x:c>
      <x:c r="U196" s="15">
        <x:v>372114</x:v>
      </x:c>
      <x:c r="V196" s="14">
        <x:v>7365000</x:v>
      </x:c>
      <x:c r="W196" s="14" t="n">
        <x:f>IF(AND(Q196&gt;0,S196&gt;0,V196&lt;&gt;""),V196/S196/Q196,"")</x:f>
        <x:v>122750</x:v>
      </x:c>
      <x:c r="X196" s="3" t="s">
        <x:v>576</x:v>
      </x:c>
    </x:row>
    <x:row r="197">
      <x:c r="A197" s="12" t="s">
        <x:v>51</x:v>
      </x:c>
      <x:c r="B197" s="3" t="s">
        <x:v>52</x:v>
      </x:c>
      <x:c r="C197" s="4" t="s">
        <x:v>577</x:v>
      </x:c>
      <x:c r="D197" s="5">
        <x:v>306</x:v>
      </x:c>
      <x:c r="E197" s="13">
        <x:v>32</x:v>
      </x:c>
      <x:c r="F197" s="13">
        <x:v>32</x:v>
      </x:c>
      <x:c r="G197" s="13">
        <x:v>32</x:v>
      </x:c>
      <x:c r="H197" s="13">
        <x:v>16</x:v>
      </x:c>
      <x:c r="I197" s="13">
        <x:v>16</x:v>
      </x:c>
      <x:c r="J197" s="13">
        <x:v>16</x:v>
      </x:c>
      <x:c r="K197" s="13">
        <x:v>15</x:v>
      </x:c>
      <x:c r="L197" s="13">
        <x:v>15</x:v>
      </x:c>
      <x:c r="M197" s="13">
        <x:v>16</x:v>
      </x:c>
      <x:c r="N197" s="13">
        <x:v>14</x:v>
      </x:c>
      <x:c r="O197" s="13">
        <x:v>14</x:v>
      </x:c>
      <x:c r="P197" s="13">
        <x:v>14</x:v>
      </x:c>
      <x:c r="Q197" s="13" t="n">
        <x:f t="shared" si="7">COUNT(E197:P197)</x:f>
        <x:v>12</x:v>
      </x:c>
      <x:c r="R197" s="13" t="n">
        <x:f t="shared" si="8">SUM(E197:P197)</x:f>
        <x:v>232</x:v>
      </x:c>
      <x:c r="S197" s="14" t="n">
        <x:f>IF(Q197&gt;0,R197/Q197,"")</x:f>
        <x:v>19.333333333333332</x:v>
      </x:c>
      <x:c r="T197" s="15">
        <x:v>1448609</x:v>
      </x:c>
      <x:c r="U197" s="15">
        <x:v>1507922</x:v>
      </x:c>
      <x:c r="V197" s="14">
        <x:v>28426303</x:v>
      </x:c>
      <x:c r="W197" s="14" t="n">
        <x:f>IF(AND(Q197&gt;0,S197&gt;0,V197&lt;&gt;""),V197/S197/Q197,"")</x:f>
        <x:v>122527.16810344829</x:v>
      </x:c>
      <x:c r="X197" s="3" t="s">
        <x:v>578</x:v>
      </x:c>
    </x:row>
    <x:row r="198">
      <x:c r="A198" s="12" t="s">
        <x:v>579</x:v>
      </x:c>
      <x:c r="B198" s="3" t="s">
        <x:v>580</x:v>
      </x:c>
      <x:c r="C198" s="4" t="s">
        <x:v>581</x:v>
      </x:c>
      <x:c r="D198" s="5">
        <x:v>306</x:v>
      </x:c>
      <x:c r="E198" s="13">
        <x:v>5</x:v>
      </x:c>
      <x:c r="F198" s="13">
        <x:v>5</x:v>
      </x:c>
      <x:c r="G198" s="13">
        <x:v>5</x:v>
      </x:c>
      <x:c r="H198" s="13">
        <x:v>5</x:v>
      </x:c>
      <x:c r="I198" s="13">
        <x:v>4</x:v>
      </x:c>
      <x:c r="J198" s="13">
        <x:v>4</x:v>
      </x:c>
      <x:c r="K198" s="13">
        <x:v>4</x:v>
      </x:c>
      <x:c r="L198" s="13"/>
      <x:c r="M198" s="13"/>
      <x:c r="N198" s="13"/>
      <x:c r="O198" s="13"/>
      <x:c r="P198" s="13"/>
      <x:c r="Q198" s="13" t="n">
        <x:f t="shared" si="7">COUNT(E198:P198)</x:f>
        <x:v>7</x:v>
      </x:c>
      <x:c r="R198" s="13" t="n">
        <x:f t="shared" si="8">SUM(E198:P198)</x:f>
        <x:v>32</x:v>
      </x:c>
      <x:c r="S198" s="14" t="n">
        <x:f>IF(Q198&gt;0,R198/Q198,"")</x:f>
        <x:v>4.571428571428571</x:v>
      </x:c>
      <x:c r="T198" s="15">
        <x:v>178682</x:v>
      </x:c>
      <x:c r="U198" s="15">
        <x:v>83283</x:v>
      </x:c>
      <x:c r="V198" s="14">
        <x:v>3910000</x:v>
      </x:c>
      <x:c r="W198" s="14" t="n">
        <x:f>IF(AND(Q198&gt;0,S198&gt;0,V198&lt;&gt;""),V198/S198/Q198,"")</x:f>
        <x:v>122187.5</x:v>
      </x:c>
      <x:c r="X198" s="3" t="s">
        <x:v>582</x:v>
      </x:c>
    </x:row>
    <x:row r="199">
      <x:c r="A199" s="12" t="s">
        <x:v>236</x:v>
      </x:c>
      <x:c r="B199" s="3" t="s">
        <x:v>496</x:v>
      </x:c>
      <x:c r="C199" s="4" t="s">
        <x:v>583</x:v>
      </x:c>
      <x:c r="D199" s="5">
        <x:v>306</x:v>
      </x:c>
      <x:c r="E199" s="13">
        <x:v>10</x:v>
      </x:c>
      <x:c r="F199" s="13">
        <x:v>12</x:v>
      </x:c>
      <x:c r="G199" s="13">
        <x:v>10</x:v>
      </x:c>
      <x:c r="H199" s="13">
        <x:v>14</x:v>
      </x:c>
      <x:c r="I199" s="13">
        <x:v>14</x:v>
      </x:c>
      <x:c r="J199" s="13">
        <x:v>13</x:v>
      </x:c>
      <x:c r="K199" s="13">
        <x:v>15</x:v>
      </x:c>
      <x:c r="L199" s="13">
        <x:v>12</x:v>
      </x:c>
      <x:c r="M199" s="13">
        <x:v>14</x:v>
      </x:c>
      <x:c r="N199" s="13">
        <x:v>10</x:v>
      </x:c>
      <x:c r="O199" s="13">
        <x:v>10</x:v>
      </x:c>
      <x:c r="P199" s="13">
        <x:v>11</x:v>
      </x:c>
      <x:c r="Q199" s="13" t="n">
        <x:f t="shared" si="7">COUNT(E199:P199)</x:f>
        <x:v>12</x:v>
      </x:c>
      <x:c r="R199" s="13" t="n">
        <x:f t="shared" si="8">SUM(E199:P199)</x:f>
        <x:v>145</x:v>
      </x:c>
      <x:c r="S199" s="14" t="n">
        <x:f>IF(Q199&gt;0,R199/Q199,"")</x:f>
        <x:v>12.083333333333334</x:v>
      </x:c>
      <x:c r="T199" s="15">
        <x:v>859952</x:v>
      </x:c>
      <x:c r="U199" s="15">
        <x:v>931708</x:v>
      </x:c>
      <x:c r="V199" s="14">
        <x:v>17640165</x:v>
      </x:c>
      <x:c r="W199" s="14" t="n">
        <x:f>IF(AND(Q199&gt;0,S199&gt;0,V199&lt;&gt;""),V199/S199/Q199,"")</x:f>
        <x:v>121656.31034482758</x:v>
      </x:c>
      <x:c r="X199" s="3" t="s">
        <x:v>584</x:v>
      </x:c>
    </x:row>
    <x:row r="200">
      <x:c r="A200" s="12" t="s">
        <x:v>51</x:v>
      </x:c>
      <x:c r="B200" s="3" t="s">
        <x:v>52</x:v>
      </x:c>
      <x:c r="C200" s="4" t="s">
        <x:v>585</x:v>
      </x:c>
      <x:c r="D200" s="5">
        <x:v>306</x:v>
      </x:c>
      <x:c r="E200" s="13"/>
      <x:c r="F200" s="13"/>
      <x:c r="G200" s="13"/>
      <x:c r="H200" s="13"/>
      <x:c r="I200" s="13"/>
      <x:c r="J200" s="13"/>
      <x:c r="K200" s="13">
        <x:v>4</x:v>
      </x:c>
      <x:c r="L200" s="13">
        <x:v>4</x:v>
      </x:c>
      <x:c r="M200" s="13">
        <x:v>4</x:v>
      </x:c>
      <x:c r="N200" s="13">
        <x:v>1</x:v>
      </x:c>
      <x:c r="O200" s="13">
        <x:v>1</x:v>
      </x:c>
      <x:c r="P200" s="13">
        <x:v>1</x:v>
      </x:c>
      <x:c r="Q200" s="13" t="n">
        <x:f t="shared" si="7">COUNT(E200:P200)</x:f>
        <x:v>6</x:v>
      </x:c>
      <x:c r="R200" s="13" t="n">
        <x:f t="shared" si="8">SUM(E200:P200)</x:f>
        <x:v>15</x:v>
      </x:c>
      <x:c r="S200" s="14" t="n">
        <x:f>IF(Q200&gt;0,R200/Q200,"")</x:f>
        <x:v>2.5</x:v>
      </x:c>
      <x:c r="T200" s="15">
        <x:v>75945</x:v>
      </x:c>
      <x:c r="U200" s="15">
        <x:v>0</x:v>
      </x:c>
      <x:c r="V200" s="14">
        <x:v>1815000</x:v>
      </x:c>
      <x:c r="W200" s="14" t="n">
        <x:f>IF(AND(Q200&gt;0,S200&gt;0,V200&lt;&gt;""),V200/S200/Q200,"")</x:f>
        <x:v>121000</x:v>
      </x:c>
      <x:c r="X200" s="3" t="s">
        <x:v>586</x:v>
      </x:c>
    </x:row>
    <x:row r="201">
      <x:c r="A201" s="12" t="s">
        <x:v>296</x:v>
      </x:c>
      <x:c r="B201" s="3" t="s">
        <x:v>297</x:v>
      </x:c>
      <x:c r="C201" s="4" t="s">
        <x:v>587</x:v>
      </x:c>
      <x:c r="D201" s="5">
        <x:v>306</x:v>
      </x:c>
      <x:c r="E201" s="13"/>
      <x:c r="F201" s="13"/>
      <x:c r="G201" s="13"/>
      <x:c r="H201" s="13">
        <x:v>1</x:v>
      </x:c>
      <x:c r="I201" s="13">
        <x:v>1</x:v>
      </x:c>
      <x:c r="J201" s="13">
        <x:v>1</x:v>
      </x:c>
      <x:c r="K201" s="13">
        <x:v>1</x:v>
      </x:c>
      <x:c r="L201" s="13">
        <x:v>1</x:v>
      </x:c>
      <x:c r="M201" s="13">
        <x:v>1</x:v>
      </x:c>
      <x:c r="N201" s="13">
        <x:v>1</x:v>
      </x:c>
      <x:c r="O201" s="13">
        <x:v>1</x:v>
      </x:c>
      <x:c r="P201" s="13">
        <x:v>1</x:v>
      </x:c>
      <x:c r="Q201" s="13" t="n">
        <x:f t="shared" si="7">COUNT(E201:P201)</x:f>
        <x:v>9</x:v>
      </x:c>
      <x:c r="R201" s="13" t="n">
        <x:f t="shared" si="8">SUM(E201:P201)</x:f>
        <x:v>9</x:v>
      </x:c>
      <x:c r="S201" s="14" t="n">
        <x:f>IF(Q201&gt;0,R201/Q201,"")</x:f>
        <x:v>1</x:v>
      </x:c>
      <x:c r="T201" s="15">
        <x:v>48528</x:v>
      </x:c>
      <x:c r="U201" s="15">
        <x:v>56268</x:v>
      </x:c>
      <x:c r="V201" s="14">
        <x:v>1080000</x:v>
      </x:c>
      <x:c r="W201" s="14" t="n">
        <x:f>IF(AND(Q201&gt;0,S201&gt;0,V201&lt;&gt;""),V201/S201/Q201,"")</x:f>
        <x:v>120000</x:v>
      </x:c>
      <x:c r="X201" s="3" t="s">
        <x:v>588</x:v>
      </x:c>
    </x:row>
    <x:row r="202">
      <x:c r="A202" s="12" t="s">
        <x:v>51</x:v>
      </x:c>
      <x:c r="B202" s="3" t="s">
        <x:v>52</x:v>
      </x:c>
      <x:c r="C202" s="4" t="s">
        <x:v>589</x:v>
      </x:c>
      <x:c r="D202" s="5">
        <x:v>306</x:v>
      </x:c>
      <x:c r="E202" s="13">
        <x:v>4</x:v>
      </x:c>
      <x:c r="F202" s="13">
        <x:v>4</x:v>
      </x:c>
      <x:c r="G202" s="13">
        <x:v>4</x:v>
      </x:c>
      <x:c r="H202" s="13">
        <x:v>5</x:v>
      </x:c>
      <x:c r="I202" s="13">
        <x:v>5</x:v>
      </x:c>
      <x:c r="J202" s="13">
        <x:v>5</x:v>
      </x:c>
      <x:c r="K202" s="13">
        <x:v>5</x:v>
      </x:c>
      <x:c r="L202" s="13">
        <x:v>5</x:v>
      </x:c>
      <x:c r="M202" s="13">
        <x:v>5</x:v>
      </x:c>
      <x:c r="N202" s="13">
        <x:v>5</x:v>
      </x:c>
      <x:c r="O202" s="13">
        <x:v>5</x:v>
      </x:c>
      <x:c r="P202" s="13">
        <x:v>5</x:v>
      </x:c>
      <x:c r="Q202" s="13" t="n">
        <x:f t="shared" si="7">COUNT(E202:P202)</x:f>
        <x:v>12</x:v>
      </x:c>
      <x:c r="R202" s="13" t="n">
        <x:f t="shared" si="8">SUM(E202:P202)</x:f>
        <x:v>57</x:v>
      </x:c>
      <x:c r="S202" s="14" t="n">
        <x:f>IF(Q202&gt;0,R202/Q202,"")</x:f>
        <x:v>4.75</x:v>
      </x:c>
      <x:c r="T202" s="15">
        <x:v>212367</x:v>
      </x:c>
      <x:c r="U202" s="15">
        <x:v>342195</x:v>
      </x:c>
      <x:c r="V202" s="14">
        <x:v>6825000</x:v>
      </x:c>
      <x:c r="W202" s="14" t="n">
        <x:f>IF(AND(Q202&gt;0,S202&gt;0,V202&lt;&gt;""),V202/S202/Q202,"")</x:f>
        <x:v>119736.84210526316</x:v>
      </x:c>
      <x:c r="X202" s="3" t="s">
        <x:v>590</x:v>
      </x:c>
    </x:row>
    <x:row r="203">
      <x:c r="A203" s="12" t="s">
        <x:v>591</x:v>
      </x:c>
      <x:c r="B203" s="3" t="s">
        <x:v>592</x:v>
      </x:c>
      <x:c r="C203" s="4" t="s">
        <x:v>593</x:v>
      </x:c>
      <x:c r="D203" s="5">
        <x:v>306</x:v>
      </x:c>
      <x:c r="E203" s="13">
        <x:v>389</x:v>
      </x:c>
      <x:c r="F203" s="13">
        <x:v>381</x:v>
      </x:c>
      <x:c r="G203" s="13">
        <x:v>377</x:v>
      </x:c>
      <x:c r="H203" s="13">
        <x:v>1131</x:v>
      </x:c>
      <x:c r="I203" s="13">
        <x:v>1104</x:v>
      </x:c>
      <x:c r="J203" s="13">
        <x:v>1152</x:v>
      </x:c>
      <x:c r="K203" s="13">
        <x:v>381</x:v>
      </x:c>
      <x:c r="L203" s="13">
        <x:v>367</x:v>
      </x:c>
      <x:c r="M203" s="13">
        <x:v>395</x:v>
      </x:c>
      <x:c r="N203" s="13"/>
      <x:c r="O203" s="13"/>
      <x:c r="P203" s="13"/>
      <x:c r="Q203" s="13" t="n">
        <x:f t="shared" si="7">COUNT(E203:P203)</x:f>
        <x:v>9</x:v>
      </x:c>
      <x:c r="R203" s="13" t="n">
        <x:f t="shared" si="8">SUM(E203:P203)</x:f>
        <x:v>5677</x:v>
      </x:c>
      <x:c r="S203" s="14" t="n">
        <x:f>IF(Q203&gt;0,R203/Q203,"")</x:f>
        <x:v>630.7777777777778</x:v>
      </x:c>
      <x:c r="T203" s="15">
        <x:v>48671327</x:v>
      </x:c>
      <x:c r="U203" s="15">
        <x:v>38906889</x:v>
      </x:c>
      <x:c r="V203" s="14">
        <x:v>674692841</x:v>
      </x:c>
      <x:c r="W203" s="14" t="n">
        <x:f>IF(AND(Q203&gt;0,S203&gt;0,V203&lt;&gt;""),V203/S203/Q203,"")</x:f>
        <x:v>118846.72203628675</x:v>
      </x:c>
      <x:c r="X203" s="3" t="s">
        <x:v>594</x:v>
      </x:c>
    </x:row>
    <x:row r="204">
      <x:c r="A204" s="12" t="s">
        <x:v>51</x:v>
      </x:c>
      <x:c r="B204" s="3" t="s">
        <x:v>52</x:v>
      </x:c>
      <x:c r="C204" s="4" t="s">
        <x:v>595</x:v>
      </x:c>
      <x:c r="D204" s="5">
        <x:v>306</x:v>
      </x:c>
      <x:c r="E204" s="13">
        <x:v>7</x:v>
      </x:c>
      <x:c r="F204" s="13">
        <x:v>7</x:v>
      </x:c>
      <x:c r="G204" s="13">
        <x:v>7</x:v>
      </x:c>
      <x:c r="H204" s="13">
        <x:v>7</x:v>
      </x:c>
      <x:c r="I204" s="13">
        <x:v>7</x:v>
      </x:c>
      <x:c r="J204" s="13">
        <x:v>7</x:v>
      </x:c>
      <x:c r="K204" s="13">
        <x:v>8</x:v>
      </x:c>
      <x:c r="L204" s="13">
        <x:v>8</x:v>
      </x:c>
      <x:c r="M204" s="13">
        <x:v>8</x:v>
      </x:c>
      <x:c r="N204" s="13">
        <x:v>7</x:v>
      </x:c>
      <x:c r="O204" s="13">
        <x:v>7</x:v>
      </x:c>
      <x:c r="P204" s="13">
        <x:v>7</x:v>
      </x:c>
      <x:c r="Q204" s="13" t="n">
        <x:f t="shared" si="7">COUNT(E204:P204)</x:f>
        <x:v>12</x:v>
      </x:c>
      <x:c r="R204" s="13" t="n">
        <x:f t="shared" si="8">SUM(E204:P204)</x:f>
        <x:v>87</x:v>
      </x:c>
      <x:c r="S204" s="14" t="n">
        <x:f>IF(Q204&gt;0,R204/Q204,"")</x:f>
        <x:v>7.25</x:v>
      </x:c>
      <x:c r="T204" s="15">
        <x:v>339866</x:v>
      </x:c>
      <x:c r="U204" s="15">
        <x:v>0</x:v>
      </x:c>
      <x:c r="V204" s="14">
        <x:v>10190000</x:v>
      </x:c>
      <x:c r="W204" s="14" t="n">
        <x:f>IF(AND(Q204&gt;0,S204&gt;0,V204&lt;&gt;""),V204/S204/Q204,"")</x:f>
        <x:v>117126.4367816092</x:v>
      </x:c>
      <x:c r="X204" s="3" t="s">
        <x:v>596</x:v>
      </x:c>
    </x:row>
    <x:row r="205">
      <x:c r="A205" s="12" t="s">
        <x:v>51</x:v>
      </x:c>
      <x:c r="B205" s="3" t="s">
        <x:v>52</x:v>
      </x:c>
      <x:c r="C205" s="4" t="s">
        <x:v>597</x:v>
      </x:c>
      <x:c r="D205" s="5">
        <x:v>306</x:v>
      </x:c>
      <x:c r="E205" s="13"/>
      <x:c r="F205" s="13"/>
      <x:c r="G205" s="13"/>
      <x:c r="H205" s="13"/>
      <x:c r="I205" s="13">
        <x:v>2</x:v>
      </x:c>
      <x:c r="J205" s="13">
        <x:v>2</x:v>
      </x:c>
      <x:c r="K205" s="13"/>
      <x:c r="L205" s="13">
        <x:v>2</x:v>
      </x:c>
      <x:c r="M205" s="13">
        <x:v>2</x:v>
      </x:c>
      <x:c r="N205" s="13">
        <x:v>2</x:v>
      </x:c>
      <x:c r="O205" s="13">
        <x:v>2</x:v>
      </x:c>
      <x:c r="P205" s="13">
        <x:v>2</x:v>
      </x:c>
      <x:c r="Q205" s="13" t="n">
        <x:f t="shared" si="7">COUNT(E205:P205)</x:f>
        <x:v>7</x:v>
      </x:c>
      <x:c r="R205" s="13" t="n">
        <x:f t="shared" si="8">SUM(E205:P205)</x:f>
        <x:v>14</x:v>
      </x:c>
      <x:c r="S205" s="14" t="n">
        <x:f>IF(Q205&gt;0,R205/Q205,"")</x:f>
        <x:v>2</x:v>
      </x:c>
      <x:c r="T205" s="15">
        <x:v>58098</x:v>
      </x:c>
      <x:c r="U205" s="15">
        <x:v>83360</x:v>
      </x:c>
      <x:c r="V205" s="14">
        <x:v>1600000</x:v>
      </x:c>
      <x:c r="W205" s="14" t="n">
        <x:f>IF(AND(Q205&gt;0,S205&gt;0,V205&lt;&gt;""),V205/S205/Q205,"")</x:f>
        <x:v>114285.71428571429</x:v>
      </x:c>
      <x:c r="X205" s="3" t="s">
        <x:v>598</x:v>
      </x:c>
    </x:row>
    <x:row r="206">
      <x:c r="A206" s="12" t="s">
        <x:v>158</x:v>
      </x:c>
      <x:c r="B206" s="3" t="s">
        <x:v>159</x:v>
      </x:c>
      <x:c r="C206" s="4" t="s">
        <x:v>599</x:v>
      </x:c>
      <x:c r="D206" s="5">
        <x:v>306</x:v>
      </x:c>
      <x:c r="E206" s="13">
        <x:v>6</x:v>
      </x:c>
      <x:c r="F206" s="13">
        <x:v>6</x:v>
      </x:c>
      <x:c r="G206" s="13">
        <x:v>6</x:v>
      </x:c>
      <x:c r="H206" s="13">
        <x:v>7</x:v>
      </x:c>
      <x:c r="I206" s="13">
        <x:v>7</x:v>
      </x:c>
      <x:c r="J206" s="13">
        <x:v>7</x:v>
      </x:c>
      <x:c r="K206" s="13"/>
      <x:c r="L206" s="13"/>
      <x:c r="M206" s="13"/>
      <x:c r="N206" s="13"/>
      <x:c r="O206" s="13"/>
      <x:c r="P206" s="13"/>
      <x:c r="Q206" s="13" t="n">
        <x:f t="shared" si="7">COUNT(E206:P206)</x:f>
        <x:v>6</x:v>
      </x:c>
      <x:c r="R206" s="13" t="n">
        <x:f t="shared" si="8">SUM(E206:P206)</x:f>
        <x:v>39</x:v>
      </x:c>
      <x:c r="S206" s="14" t="n">
        <x:f>IF(Q206&gt;0,R206/Q206,"")</x:f>
        <x:v>6.5</x:v>
      </x:c>
      <x:c r="T206" s="15">
        <x:v>272613</x:v>
      </x:c>
      <x:c r="U206" s="15">
        <x:v>235675</x:v>
      </x:c>
      <x:c r="V206" s="14">
        <x:v>4446067</x:v>
      </x:c>
      <x:c r="W206" s="14" t="n">
        <x:f>IF(AND(Q206&gt;0,S206&gt;0,V206&lt;&gt;""),V206/S206/Q206,"")</x:f>
        <x:v>114001.71794871795</x:v>
      </x:c>
      <x:c r="X206" s="3" t="s">
        <x:v>600</x:v>
      </x:c>
    </x:row>
    <x:row r="207">
      <x:c r="A207" s="12" t="s">
        <x:v>601</x:v>
      </x:c>
      <x:c r="B207" s="3" t="s">
        <x:v>602</x:v>
      </x:c>
      <x:c r="C207" s="4" t="s">
        <x:v>603</x:v>
      </x:c>
      <x:c r="D207" s="5">
        <x:v>306</x:v>
      </x:c>
      <x:c r="E207" s="13">
        <x:v>2</x:v>
      </x:c>
      <x:c r="F207" s="13">
        <x:v>2</x:v>
      </x:c>
      <x:c r="G207" s="13">
        <x:v>2</x:v>
      </x:c>
      <x:c r="H207" s="13">
        <x:v>1</x:v>
      </x:c>
      <x:c r="I207" s="13">
        <x:v>1</x:v>
      </x:c>
      <x:c r="J207" s="13">
        <x:v>1</x:v>
      </x:c>
      <x:c r="K207" s="13">
        <x:v>1</x:v>
      </x:c>
      <x:c r="L207" s="13">
        <x:v>1</x:v>
      </x:c>
      <x:c r="M207" s="13">
        <x:v>1</x:v>
      </x:c>
      <x:c r="N207" s="13">
        <x:v>1</x:v>
      </x:c>
      <x:c r="O207" s="13">
        <x:v>1</x:v>
      </x:c>
      <x:c r="P207" s="13">
        <x:v>1</x:v>
      </x:c>
      <x:c r="Q207" s="13" t="n">
        <x:f t="shared" si="7">COUNT(E207:P207)</x:f>
        <x:v>12</x:v>
      </x:c>
      <x:c r="R207" s="13" t="n">
        <x:f t="shared" si="8">SUM(E207:P207)</x:f>
        <x:v>15</x:v>
      </x:c>
      <x:c r="S207" s="14" t="n">
        <x:f>IF(Q207&gt;0,R207/Q207,"")</x:f>
        <x:v>1.25</x:v>
      </x:c>
      <x:c r="T207" s="15">
        <x:v>71836</x:v>
      </x:c>
      <x:c r="U207" s="15">
        <x:v>88430</x:v>
      </x:c>
      <x:c r="V207" s="14">
        <x:v>1697370</x:v>
      </x:c>
      <x:c r="W207" s="14" t="n">
        <x:f>IF(AND(Q207&gt;0,S207&gt;0,V207&lt;&gt;""),V207/S207/Q207,"")</x:f>
        <x:v>113158</x:v>
      </x:c>
      <x:c r="X207" s="3" t="s">
        <x:v>604</x:v>
      </x:c>
    </x:row>
    <x:row r="208">
      <x:c r="A208" s="12" t="s">
        <x:v>220</x:v>
      </x:c>
      <x:c r="B208" s="3" t="s">
        <x:v>605</x:v>
      </x:c>
      <x:c r="C208" s="4" t="s">
        <x:v>606</x:v>
      </x:c>
      <x:c r="D208" s="5">
        <x:v>306</x:v>
      </x:c>
      <x:c r="E208" s="13">
        <x:v>5</x:v>
      </x:c>
      <x:c r="F208" s="13">
        <x:v>5</x:v>
      </x:c>
      <x:c r="G208" s="13">
        <x:v>5</x:v>
      </x:c>
      <x:c r="H208" s="13">
        <x:v>5</x:v>
      </x:c>
      <x:c r="I208" s="13">
        <x:v>5</x:v>
      </x:c>
      <x:c r="J208" s="13">
        <x:v>5</x:v>
      </x:c>
      <x:c r="K208" s="13">
        <x:v>5</x:v>
      </x:c>
      <x:c r="L208" s="13">
        <x:v>4</x:v>
      </x:c>
      <x:c r="M208" s="13">
        <x:v>4</x:v>
      </x:c>
      <x:c r="N208" s="13">
        <x:v>4</x:v>
      </x:c>
      <x:c r="O208" s="13">
        <x:v>4</x:v>
      </x:c>
      <x:c r="P208" s="13">
        <x:v>4</x:v>
      </x:c>
      <x:c r="Q208" s="13" t="n">
        <x:f t="shared" si="7">COUNT(E208:P208)</x:f>
        <x:v>12</x:v>
      </x:c>
      <x:c r="R208" s="13" t="n">
        <x:f t="shared" si="8">SUM(E208:P208)</x:f>
        <x:v>55</x:v>
      </x:c>
      <x:c r="S208" s="14" t="n">
        <x:f>IF(Q208&gt;0,R208/Q208,"")</x:f>
        <x:v>4.583333333333333</x:v>
      </x:c>
      <x:c r="T208" s="15">
        <x:v>159705</x:v>
      </x:c>
      <x:c r="U208" s="15">
        <x:v>0</x:v>
      </x:c>
      <x:c r="V208" s="14">
        <x:v>6180000</x:v>
      </x:c>
      <x:c r="W208" s="14" t="n">
        <x:f>IF(AND(Q208&gt;0,S208&gt;0,V208&lt;&gt;""),V208/S208/Q208,"")</x:f>
        <x:v>112363.63636363637</x:v>
      </x:c>
      <x:c r="X208" s="3" t="s">
        <x:v>607</x:v>
      </x:c>
    </x:row>
    <x:row r="209">
      <x:c r="A209" s="12" t="s">
        <x:v>462</x:v>
      </x:c>
      <x:c r="B209" s="3" t="s">
        <x:v>463</x:v>
      </x:c>
      <x:c r="C209" s="4" t="s">
        <x:v>608</x:v>
      </x:c>
      <x:c r="D209" s="5">
        <x:v>306</x:v>
      </x:c>
      <x:c r="E209" s="13">
        <x:v>2</x:v>
      </x:c>
      <x:c r="F209" s="13">
        <x:v>2</x:v>
      </x:c>
      <x:c r="G209" s="13">
        <x:v>2</x:v>
      </x:c>
      <x:c r="H209" s="13">
        <x:v>2</x:v>
      </x:c>
      <x:c r="I209" s="13">
        <x:v>2</x:v>
      </x:c>
      <x:c r="J209" s="13">
        <x:v>2</x:v>
      </x:c>
      <x:c r="K209" s="13">
        <x:v>1</x:v>
      </x:c>
      <x:c r="L209" s="13">
        <x:v>2</x:v>
      </x:c>
      <x:c r="M209" s="13">
        <x:v>2</x:v>
      </x:c>
      <x:c r="N209" s="13">
        <x:v>3</x:v>
      </x:c>
      <x:c r="O209" s="13">
        <x:v>3</x:v>
      </x:c>
      <x:c r="P209" s="13">
        <x:v>3</x:v>
      </x:c>
      <x:c r="Q209" s="13" t="n">
        <x:f t="shared" si="7">COUNT(E209:P209)</x:f>
        <x:v>12</x:v>
      </x:c>
      <x:c r="R209" s="13" t="n">
        <x:f t="shared" si="8">SUM(E209:P209)</x:f>
        <x:v>26</x:v>
      </x:c>
      <x:c r="S209" s="14" t="n">
        <x:f>IF(Q209&gt;0,R209/Q209,"")</x:f>
        <x:v>2.1666666666666665</x:v>
      </x:c>
      <x:c r="T209" s="15">
        <x:v>52500</x:v>
      </x:c>
      <x:c r="U209" s="15">
        <x:v>96930</x:v>
      </x:c>
      <x:c r="V209" s="14">
        <x:v>2875000</x:v>
      </x:c>
      <x:c r="W209" s="14" t="n">
        <x:f>IF(AND(Q209&gt;0,S209&gt;0,V209&lt;&gt;""),V209/S209/Q209,"")</x:f>
        <x:v>110576.92307692308</x:v>
      </x:c>
      <x:c r="X209" s="3" t="s">
        <x:v>609</x:v>
      </x:c>
    </x:row>
    <x:row r="210">
      <x:c r="A210" s="12" t="s">
        <x:v>236</x:v>
      </x:c>
      <x:c r="B210" s="3" t="s">
        <x:v>496</x:v>
      </x:c>
      <x:c r="C210" s="4" t="s">
        <x:v>610</x:v>
      </x:c>
      <x:c r="D210" s="5">
        <x:v>306</x:v>
      </x:c>
      <x:c r="E210" s="13">
        <x:v>14</x:v>
      </x:c>
      <x:c r="F210" s="13">
        <x:v>14</x:v>
      </x:c>
      <x:c r="G210" s="13">
        <x:v>14</x:v>
      </x:c>
      <x:c r="H210" s="13">
        <x:v>14</x:v>
      </x:c>
      <x:c r="I210" s="13">
        <x:v>14</x:v>
      </x:c>
      <x:c r="J210" s="13">
        <x:v>14</x:v>
      </x:c>
      <x:c r="K210" s="13">
        <x:v>15</x:v>
      </x:c>
      <x:c r="L210" s="13">
        <x:v>15</x:v>
      </x:c>
      <x:c r="M210" s="13">
        <x:v>15</x:v>
      </x:c>
      <x:c r="N210" s="13">
        <x:v>13</x:v>
      </x:c>
      <x:c r="O210" s="13">
        <x:v>13</x:v>
      </x:c>
      <x:c r="P210" s="13">
        <x:v>13</x:v>
      </x:c>
      <x:c r="Q210" s="13" t="n">
        <x:f t="shared" si="7">COUNT(E210:P210)</x:f>
        <x:v>12</x:v>
      </x:c>
      <x:c r="R210" s="13" t="n">
        <x:f t="shared" si="8">SUM(E210:P210)</x:f>
        <x:v>168</x:v>
      </x:c>
      <x:c r="S210" s="14" t="n">
        <x:f>IF(Q210&gt;0,R210/Q210,"")</x:f>
        <x:v>14</x:v>
      </x:c>
      <x:c r="T210" s="15">
        <x:v>739382</x:v>
      </x:c>
      <x:c r="U210" s="15">
        <x:v>935546</x:v>
      </x:c>
      <x:c r="V210" s="14">
        <x:v>18163688</x:v>
      </x:c>
      <x:c r="W210" s="14" t="n">
        <x:f>IF(AND(Q210&gt;0,S210&gt;0,V210&lt;&gt;""),V210/S210/Q210,"")</x:f>
        <x:v>108117.19047619047</x:v>
      </x:c>
      <x:c r="X210" s="3" t="s">
        <x:v>611</x:v>
      </x:c>
    </x:row>
    <x:row r="211">
      <x:c r="A211" s="12" t="s">
        <x:v>236</x:v>
      </x:c>
      <x:c r="B211" s="3" t="s">
        <x:v>496</x:v>
      </x:c>
      <x:c r="C211" s="4" t="s">
        <x:v>612</x:v>
      </x:c>
      <x:c r="D211" s="5">
        <x:v>306</x:v>
      </x:c>
      <x:c r="E211" s="13">
        <x:v>9</x:v>
      </x:c>
      <x:c r="F211" s="13">
        <x:v>9</x:v>
      </x:c>
      <x:c r="G211" s="13">
        <x:v>9</x:v>
      </x:c>
      <x:c r="H211" s="13">
        <x:v>10</x:v>
      </x:c>
      <x:c r="I211" s="13">
        <x:v>10</x:v>
      </x:c>
      <x:c r="J211" s="13">
        <x:v>10</x:v>
      </x:c>
      <x:c r="K211" s="13">
        <x:v>11</x:v>
      </x:c>
      <x:c r="L211" s="13">
        <x:v>11</x:v>
      </x:c>
      <x:c r="M211" s="13">
        <x:v>11</x:v>
      </x:c>
      <x:c r="N211" s="13">
        <x:v>10</x:v>
      </x:c>
      <x:c r="O211" s="13">
        <x:v>10</x:v>
      </x:c>
      <x:c r="P211" s="13">
        <x:v>10</x:v>
      </x:c>
      <x:c r="Q211" s="13" t="n">
        <x:f t="shared" si="7">COUNT(E211:P211)</x:f>
        <x:v>12</x:v>
      </x:c>
      <x:c r="R211" s="13" t="n">
        <x:f t="shared" si="8">SUM(E211:P211)</x:f>
        <x:v>120</x:v>
      </x:c>
      <x:c r="S211" s="14" t="n">
        <x:f>IF(Q211&gt;0,R211/Q211,"")</x:f>
        <x:v>10</x:v>
      </x:c>
      <x:c r="T211" s="15">
        <x:v>511603</x:v>
      </x:c>
      <x:c r="U211" s="15">
        <x:v>664236</x:v>
      </x:c>
      <x:c r="V211" s="14">
        <x:v>12814300</x:v>
      </x:c>
      <x:c r="W211" s="14" t="n">
        <x:f>IF(AND(Q211&gt;0,S211&gt;0,V211&lt;&gt;""),V211/S211/Q211,"")</x:f>
        <x:v>106785.83333333333</x:v>
      </x:c>
      <x:c r="X211" s="3" t="s">
        <x:v>613</x:v>
      </x:c>
    </x:row>
    <x:row r="212">
      <x:c r="A212" s="12" t="s">
        <x:v>236</x:v>
      </x:c>
      <x:c r="B212" s="3" t="s">
        <x:v>459</x:v>
      </x:c>
      <x:c r="C212" s="4" t="s">
        <x:v>614</x:v>
      </x:c>
      <x:c r="D212" s="5">
        <x:v>306</x:v>
      </x:c>
      <x:c r="E212" s="13">
        <x:v>17</x:v>
      </x:c>
      <x:c r="F212" s="13">
        <x:v>15</x:v>
      </x:c>
      <x:c r="G212" s="13">
        <x:v>15</x:v>
      </x:c>
      <x:c r="H212" s="13">
        <x:v>15</x:v>
      </x:c>
      <x:c r="I212" s="13">
        <x:v>15</x:v>
      </x:c>
      <x:c r="J212" s="13">
        <x:v>15</x:v>
      </x:c>
      <x:c r="K212" s="13">
        <x:v>15</x:v>
      </x:c>
      <x:c r="L212" s="13">
        <x:v>15</x:v>
      </x:c>
      <x:c r="M212" s="13">
        <x:v>15</x:v>
      </x:c>
      <x:c r="N212" s="13">
        <x:v>14</x:v>
      </x:c>
      <x:c r="O212" s="13">
        <x:v>14</x:v>
      </x:c>
      <x:c r="P212" s="13">
        <x:v>14</x:v>
      </x:c>
      <x:c r="Q212" s="13" t="n">
        <x:f t="shared" si="7">COUNT(E212:P212)</x:f>
        <x:v>12</x:v>
      </x:c>
      <x:c r="R212" s="13" t="n">
        <x:f t="shared" si="8">SUM(E212:P212)</x:f>
        <x:v>179</x:v>
      </x:c>
      <x:c r="S212" s="14" t="n">
        <x:f>IF(Q212&gt;0,R212/Q212,"")</x:f>
        <x:v>14.916666666666666</x:v>
      </x:c>
      <x:c r="T212" s="15">
        <x:v>809731</x:v>
      </x:c>
      <x:c r="U212" s="15">
        <x:v>998285</x:v>
      </x:c>
      <x:c r="V212" s="14">
        <x:v>19108949</x:v>
      </x:c>
      <x:c r="W212" s="14" t="n">
        <x:f>IF(AND(Q212&gt;0,S212&gt;0,V212&lt;&gt;""),V212/S212/Q212,"")</x:f>
        <x:v>106753.90502793297</x:v>
      </x:c>
      <x:c r="X212" s="3" t="s">
        <x:v>615</x:v>
      </x:c>
    </x:row>
    <x:row r="213">
      <x:c r="A213" s="12" t="s">
        <x:v>220</x:v>
      </x:c>
      <x:c r="B213" s="3" t="s">
        <x:v>221</x:v>
      </x:c>
      <x:c r="C213" s="4" t="s">
        <x:v>616</x:v>
      </x:c>
      <x:c r="D213" s="5">
        <x:v>306</x:v>
      </x:c>
      <x:c r="E213" s="13"/>
      <x:c r="F213" s="13"/>
      <x:c r="G213" s="13"/>
      <x:c r="H213" s="13"/>
      <x:c r="I213" s="13">
        <x:v>8</x:v>
      </x:c>
      <x:c r="J213" s="13">
        <x:v>8</x:v>
      </x:c>
      <x:c r="K213" s="13">
        <x:v>10</x:v>
      </x:c>
      <x:c r="L213" s="13">
        <x:v>8</x:v>
      </x:c>
      <x:c r="M213" s="13">
        <x:v>8</x:v>
      </x:c>
      <x:c r="N213" s="13">
        <x:v>7</x:v>
      </x:c>
      <x:c r="O213" s="13">
        <x:v>7</x:v>
      </x:c>
      <x:c r="P213" s="13">
        <x:v>7</x:v>
      </x:c>
      <x:c r="Q213" s="13" t="n">
        <x:f t="shared" si="7">COUNT(E213:P213)</x:f>
        <x:v>8</x:v>
      </x:c>
      <x:c r="R213" s="13" t="n">
        <x:f t="shared" si="8">SUM(E213:P213)</x:f>
        <x:v>63</x:v>
      </x:c>
      <x:c r="S213" s="14" t="n">
        <x:f>IF(Q213&gt;0,R213/Q213,"")</x:f>
        <x:v>7.875</x:v>
      </x:c>
      <x:c r="T213" s="15">
        <x:v>263953</x:v>
      </x:c>
      <x:c r="U213" s="15">
        <x:v>0</x:v>
      </x:c>
      <x:c r="V213" s="14">
        <x:v>6700000</x:v>
      </x:c>
      <x:c r="W213" s="14" t="n">
        <x:f>IF(AND(Q213&gt;0,S213&gt;0,V213&lt;&gt;""),V213/S213/Q213,"")</x:f>
        <x:v>106349.20634920635</x:v>
      </x:c>
      <x:c r="X213" s="3" t="s">
        <x:v>617</x:v>
      </x:c>
    </x:row>
    <x:row r="214">
      <x:c r="A214" s="12" t="s">
        <x:v>220</x:v>
      </x:c>
      <x:c r="B214" s="3" t="s">
        <x:v>221</x:v>
      </x:c>
      <x:c r="C214" s="4" t="s">
        <x:v>618</x:v>
      </x:c>
      <x:c r="D214" s="5">
        <x:v>306</x:v>
      </x:c>
      <x:c r="E214" s="13">
        <x:v>2</x:v>
      </x:c>
      <x:c r="F214" s="13">
        <x:v>2</x:v>
      </x:c>
      <x:c r="G214" s="13">
        <x:v>2</x:v>
      </x:c>
      <x:c r="H214" s="13">
        <x:v>3</x:v>
      </x:c>
      <x:c r="I214" s="13">
        <x:v>3</x:v>
      </x:c>
      <x:c r="J214" s="13">
        <x:v>3</x:v>
      </x:c>
      <x:c r="K214" s="13">
        <x:v>3</x:v>
      </x:c>
      <x:c r="L214" s="13">
        <x:v>3</x:v>
      </x:c>
      <x:c r="M214" s="13">
        <x:v>3</x:v>
      </x:c>
      <x:c r="N214" s="13">
        <x:v>3</x:v>
      </x:c>
      <x:c r="O214" s="13">
        <x:v>3</x:v>
      </x:c>
      <x:c r="P214" s="13">
        <x:v>3</x:v>
      </x:c>
      <x:c r="Q214" s="13" t="n">
        <x:f t="shared" si="7">COUNT(E214:P214)</x:f>
        <x:v>12</x:v>
      </x:c>
      <x:c r="R214" s="13" t="n">
        <x:f t="shared" si="8">SUM(E214:P214)</x:f>
        <x:v>33</x:v>
      </x:c>
      <x:c r="S214" s="14" t="n">
        <x:f>IF(Q214&gt;0,R214/Q214,"")</x:f>
        <x:v>2.75</x:v>
      </x:c>
      <x:c r="T214" s="15">
        <x:v>95295</x:v>
      </x:c>
      <x:c r="U214" s="15">
        <x:v>0</x:v>
      </x:c>
      <x:c r="V214" s="14">
        <x:v>3440000</x:v>
      </x:c>
      <x:c r="W214" s="14" t="n">
        <x:f>IF(AND(Q214&gt;0,S214&gt;0,V214&lt;&gt;""),V214/S214/Q214,"")</x:f>
        <x:v>104242.42424242424</x:v>
      </x:c>
      <x:c r="X214" s="3" t="s">
        <x:v>619</x:v>
      </x:c>
    </x:row>
    <x:row r="215">
      <x:c r="A215" s="12" t="s">
        <x:v>236</x:v>
      </x:c>
      <x:c r="B215" s="3" t="s">
        <x:v>237</x:v>
      </x:c>
      <x:c r="C215" s="4" t="s">
        <x:v>620</x:v>
      </x:c>
      <x:c r="D215" s="5">
        <x:v>306</x:v>
      </x:c>
      <x:c r="E215" s="13">
        <x:v>24</x:v>
      </x:c>
      <x:c r="F215" s="13">
        <x:v>24</x:v>
      </x:c>
      <x:c r="G215" s="13">
        <x:v>24</x:v>
      </x:c>
      <x:c r="H215" s="13">
        <x:v>24</x:v>
      </x:c>
      <x:c r="I215" s="13">
        <x:v>24</x:v>
      </x:c>
      <x:c r="J215" s="13">
        <x:v>24</x:v>
      </x:c>
      <x:c r="K215" s="13"/>
      <x:c r="L215" s="13"/>
      <x:c r="M215" s="13"/>
      <x:c r="N215" s="13"/>
      <x:c r="O215" s="13"/>
      <x:c r="P215" s="13"/>
      <x:c r="Q215" s="13" t="n">
        <x:f t="shared" si="7">COUNT(E215:P215)</x:f>
        <x:v>6</x:v>
      </x:c>
      <x:c r="R215" s="13" t="n">
        <x:f t="shared" si="8">SUM(E215:P215)</x:f>
        <x:v>144</x:v>
      </x:c>
      <x:c r="S215" s="14" t="n">
        <x:f>IF(Q215&gt;0,R215/Q215,"")</x:f>
        <x:v>24</x:v>
      </x:c>
      <x:c r="T215" s="15">
        <x:v>846232</x:v>
      </x:c>
      <x:c r="U215" s="15">
        <x:v>791341</x:v>
      </x:c>
      <x:c r="V215" s="14">
        <x:v>14991171</x:v>
      </x:c>
      <x:c r="W215" s="14" t="n">
        <x:f>IF(AND(Q215&gt;0,S215&gt;0,V215&lt;&gt;""),V215/S215/Q215,"")</x:f>
        <x:v>104105.35416666667</x:v>
      </x:c>
      <x:c r="X215" s="3" t="s">
        <x:v>621</x:v>
      </x:c>
    </x:row>
    <x:row r="216">
      <x:c r="A216" s="12" t="s">
        <x:v>622</x:v>
      </x:c>
      <x:c r="B216" s="3" t="s">
        <x:v>623</x:v>
      </x:c>
      <x:c r="C216" s="4" t="s">
        <x:v>624</x:v>
      </x:c>
      <x:c r="D216" s="5">
        <x:v>306</x:v>
      </x:c>
      <x:c r="E216" s="13">
        <x:v>3</x:v>
      </x:c>
      <x:c r="F216" s="13">
        <x:v>3</x:v>
      </x:c>
      <x:c r="G216" s="13">
        <x:v>3</x:v>
      </x:c>
      <x:c r="H216" s="13">
        <x:v>3</x:v>
      </x:c>
      <x:c r="I216" s="13">
        <x:v>2</x:v>
      </x:c>
      <x:c r="J216" s="13">
        <x:v>2</x:v>
      </x:c>
      <x:c r="K216" s="13">
        <x:v>2</x:v>
      </x:c>
      <x:c r="L216" s="13">
        <x:v>2</x:v>
      </x:c>
      <x:c r="M216" s="13">
        <x:v>2</x:v>
      </x:c>
      <x:c r="N216" s="13">
        <x:v>2</x:v>
      </x:c>
      <x:c r="O216" s="13">
        <x:v>2</x:v>
      </x:c>
      <x:c r="P216" s="13">
        <x:v>2</x:v>
      </x:c>
      <x:c r="Q216" s="13" t="n">
        <x:f t="shared" si="7">COUNT(E216:P216)</x:f>
        <x:v>12</x:v>
      </x:c>
      <x:c r="R216" s="13" t="n">
        <x:f t="shared" si="8">SUM(E216:P216)</x:f>
        <x:v>28</x:v>
      </x:c>
      <x:c r="S216" s="14" t="n">
        <x:f>IF(Q216&gt;0,R216/Q216,"")</x:f>
        <x:v>2.3333333333333335</x:v>
      </x:c>
      <x:c r="T216" s="15">
        <x:v>140282</x:v>
      </x:c>
      <x:c r="U216" s="15">
        <x:v>192358</x:v>
      </x:c>
      <x:c r="V216" s="14">
        <x:v>2893920</x:v>
      </x:c>
      <x:c r="W216" s="14" t="n">
        <x:f>IF(AND(Q216&gt;0,S216&gt;0,V216&lt;&gt;""),V216/S216/Q216,"")</x:f>
        <x:v>103354.2857142857</x:v>
      </x:c>
      <x:c r="X216" s="3" t="s">
        <x:v>625</x:v>
      </x:c>
    </x:row>
    <x:row r="217">
      <x:c r="A217" s="12" t="s">
        <x:v>626</x:v>
      </x:c>
      <x:c r="B217" s="3" t="s">
        <x:v>627</x:v>
      </x:c>
      <x:c r="C217" s="4" t="s">
        <x:v>628</x:v>
      </x:c>
      <x:c r="D217" s="5">
        <x:v>306</x:v>
      </x:c>
      <x:c r="E217" s="13">
        <x:v>4</x:v>
      </x:c>
      <x:c r="F217" s="13">
        <x:v>4</x:v>
      </x:c>
      <x:c r="G217" s="13">
        <x:v>4</x:v>
      </x:c>
      <x:c r="H217" s="13">
        <x:v>4</x:v>
      </x:c>
      <x:c r="I217" s="13">
        <x:v>4</x:v>
      </x:c>
      <x:c r="J217" s="13">
        <x:v>4</x:v>
      </x:c>
      <x:c r="K217" s="13">
        <x:v>4</x:v>
      </x:c>
      <x:c r="L217" s="13">
        <x:v>5</x:v>
      </x:c>
      <x:c r="M217" s="13">
        <x:v>5</x:v>
      </x:c>
      <x:c r="N217" s="13">
        <x:v>5</x:v>
      </x:c>
      <x:c r="O217" s="13">
        <x:v>5</x:v>
      </x:c>
      <x:c r="P217" s="13">
        <x:v>5</x:v>
      </x:c>
      <x:c r="Q217" s="13" t="n">
        <x:f t="shared" si="7">COUNT(E217:P217)</x:f>
        <x:v>12</x:v>
      </x:c>
      <x:c r="R217" s="13" t="n">
        <x:f t="shared" si="8">SUM(E217:P217)</x:f>
        <x:v>53</x:v>
      </x:c>
      <x:c r="S217" s="14" t="n">
        <x:f>IF(Q217&gt;0,R217/Q217,"")</x:f>
        <x:v>4.416666666666667</x:v>
      </x:c>
      <x:c r="T217" s="15">
        <x:v>162451</x:v>
      </x:c>
      <x:c r="U217" s="15">
        <x:v>202561</x:v>
      </x:c>
      <x:c r="V217" s="14">
        <x:v>5451000</x:v>
      </x:c>
      <x:c r="W217" s="14" t="n">
        <x:f>IF(AND(Q217&gt;0,S217&gt;0,V217&lt;&gt;""),V217/S217/Q217,"")</x:f>
        <x:v>102849.05660377357</x:v>
      </x:c>
      <x:c r="X217" s="3" t="s">
        <x:v>629</x:v>
      </x:c>
    </x:row>
    <x:row r="218">
      <x:c r="A218" s="12" t="s">
        <x:v>630</x:v>
      </x:c>
      <x:c r="B218" s="3" t="s">
        <x:v>631</x:v>
      </x:c>
      <x:c r="C218" s="4" t="s">
        <x:v>632</x:v>
      </x:c>
      <x:c r="D218" s="5">
        <x:v>306</x:v>
      </x:c>
      <x:c r="E218" s="13">
        <x:v>2</x:v>
      </x:c>
      <x:c r="F218" s="13">
        <x:v>2</x:v>
      </x:c>
      <x:c r="G218" s="13">
        <x:v>1</x:v>
      </x:c>
      <x:c r="H218" s="13">
        <x:v>1</x:v>
      </x:c>
      <x:c r="I218" s="13">
        <x:v>1</x:v>
      </x:c>
      <x:c r="J218" s="13">
        <x:v>1</x:v>
      </x:c>
      <x:c r="K218" s="13">
        <x:v>1</x:v>
      </x:c>
      <x:c r="L218" s="13">
        <x:v>1</x:v>
      </x:c>
      <x:c r="M218" s="13">
        <x:v>1</x:v>
      </x:c>
      <x:c r="N218" s="13">
        <x:v>1</x:v>
      </x:c>
      <x:c r="O218" s="13">
        <x:v>1</x:v>
      </x:c>
      <x:c r="P218" s="13">
        <x:v>1</x:v>
      </x:c>
      <x:c r="Q218" s="13" t="n">
        <x:f t="shared" si="7">COUNT(E218:P218)</x:f>
        <x:v>12</x:v>
      </x:c>
      <x:c r="R218" s="13" t="n">
        <x:f t="shared" si="8">SUM(E218:P218)</x:f>
        <x:v>14</x:v>
      </x:c>
      <x:c r="S218" s="14" t="n">
        <x:f>IF(Q218&gt;0,R218/Q218,"")</x:f>
        <x:v>1.1666666666666667</x:v>
      </x:c>
      <x:c r="T218" s="15">
        <x:v>52255</x:v>
      </x:c>
      <x:c r="U218" s="15">
        <x:v>71506</x:v>
      </x:c>
      <x:c r="V218" s="14">
        <x:v>1435304</x:v>
      </x:c>
      <x:c r="W218" s="14" t="n">
        <x:f>IF(AND(Q218&gt;0,S218&gt;0,V218&lt;&gt;""),V218/S218/Q218,"")</x:f>
        <x:v>102521.71428571428</x:v>
      </x:c>
      <x:c r="X218" s="3" t="s">
        <x:v>633</x:v>
      </x:c>
    </x:row>
    <x:row r="219">
      <x:c r="A219" s="12" t="s">
        <x:v>626</x:v>
      </x:c>
      <x:c r="B219" s="3" t="s">
        <x:v>627</x:v>
      </x:c>
      <x:c r="C219" s="4" t="s">
        <x:v>634</x:v>
      </x:c>
      <x:c r="D219" s="5">
        <x:v>306</x:v>
      </x:c>
      <x:c r="E219" s="13">
        <x:v>1</x:v>
      </x:c>
      <x:c r="F219" s="13">
        <x:v>1</x:v>
      </x:c>
      <x:c r="G219" s="13">
        <x:v>1</x:v>
      </x:c>
      <x:c r="H219" s="13"/>
      <x:c r="I219" s="13"/>
      <x:c r="J219" s="13"/>
      <x:c r="K219" s="13">
        <x:v>1</x:v>
      </x:c>
      <x:c r="L219" s="13">
        <x:v>1</x:v>
      </x:c>
      <x:c r="M219" s="13">
        <x:v>1</x:v>
      </x:c>
      <x:c r="N219" s="13">
        <x:v>2</x:v>
      </x:c>
      <x:c r="O219" s="13">
        <x:v>2</x:v>
      </x:c>
      <x:c r="P219" s="13">
        <x:v>2</x:v>
      </x:c>
      <x:c r="Q219" s="13" t="n">
        <x:f t="shared" si="7">COUNT(E219:P219)</x:f>
        <x:v>9</x:v>
      </x:c>
      <x:c r="R219" s="13" t="n">
        <x:f t="shared" si="8">SUM(E219:P219)</x:f>
        <x:v>12</x:v>
      </x:c>
      <x:c r="S219" s="14" t="n">
        <x:f>IF(Q219&gt;0,R219/Q219,"")</x:f>
        <x:v>1.3333333333333333</x:v>
      </x:c>
      <x:c r="T219" s="15">
        <x:v>38583</x:v>
      </x:c>
      <x:c r="U219" s="15">
        <x:v>62367</x:v>
      </x:c>
      <x:c r="V219" s="14">
        <x:v>1214211</x:v>
      </x:c>
      <x:c r="W219" s="14" t="n">
        <x:f>IF(AND(Q219&gt;0,S219&gt;0,V219&lt;&gt;""),V219/S219/Q219,"")</x:f>
        <x:v>101184.25</x:v>
      </x:c>
      <x:c r="X219" s="3" t="s">
        <x:v>635</x:v>
      </x:c>
    </x:row>
    <x:row r="220">
      <x:c r="A220" s="12" t="s">
        <x:v>636</x:v>
      </x:c>
      <x:c r="B220" s="3" t="s">
        <x:v>637</x:v>
      </x:c>
      <x:c r="C220" s="4" t="s">
        <x:v>638</x:v>
      </x:c>
      <x:c r="D220" s="5">
        <x:v>306</x:v>
      </x:c>
      <x:c r="E220" s="13"/>
      <x:c r="F220" s="13"/>
      <x:c r="G220" s="13"/>
      <x:c r="H220" s="13">
        <x:v>8</x:v>
      </x:c>
      <x:c r="I220" s="13">
        <x:v>8</x:v>
      </x:c>
      <x:c r="J220" s="13">
        <x:v>8</x:v>
      </x:c>
      <x:c r="K220" s="13">
        <x:v>8</x:v>
      </x:c>
      <x:c r="L220" s="13">
        <x:v>9</x:v>
      </x:c>
      <x:c r="M220" s="13">
        <x:v>15</x:v>
      </x:c>
      <x:c r="N220" s="13">
        <x:v>18</x:v>
      </x:c>
      <x:c r="O220" s="13">
        <x:v>18</x:v>
      </x:c>
      <x:c r="P220" s="13">
        <x:v>19</x:v>
      </x:c>
      <x:c r="Q220" s="13" t="n">
        <x:f t="shared" si="7">COUNT(E220:P220)</x:f>
        <x:v>9</x:v>
      </x:c>
      <x:c r="R220" s="13" t="n">
        <x:f t="shared" si="8">SUM(E220:P220)</x:f>
        <x:v>111</x:v>
      </x:c>
      <x:c r="S220" s="14" t="n">
        <x:f>IF(Q220&gt;0,R220/Q220,"")</x:f>
        <x:v>12.333333333333334</x:v>
      </x:c>
      <x:c r="T220" s="15">
        <x:v>779990</x:v>
      </x:c>
      <x:c r="U220" s="15">
        <x:v>619688</x:v>
      </x:c>
      <x:c r="V220" s="14">
        <x:v>11189810</x:v>
      </x:c>
      <x:c r="W220" s="14" t="n">
        <x:f>IF(AND(Q220&gt;0,S220&gt;0,V220&lt;&gt;""),V220/S220/Q220,"")</x:f>
        <x:v>100809.0990990991</x:v>
      </x:c>
      <x:c r="X220" s="3" t="s">
        <x:v>639</x:v>
      </x:c>
    </x:row>
    <x:row r="221">
      <x:c r="A221" s="12" t="s">
        <x:v>51</x:v>
      </x:c>
      <x:c r="B221" s="3" t="s">
        <x:v>52</x:v>
      </x:c>
      <x:c r="C221" s="4" t="s">
        <x:v>640</x:v>
      </x:c>
      <x:c r="D221" s="5">
        <x:v>306</x:v>
      </x:c>
      <x:c r="E221" s="13"/>
      <x:c r="F221" s="13"/>
      <x:c r="G221" s="13"/>
      <x:c r="H221" s="13"/>
      <x:c r="I221" s="13"/>
      <x:c r="J221" s="13"/>
      <x:c r="K221" s="13">
        <x:v>2</x:v>
      </x:c>
      <x:c r="L221" s="13">
        <x:v>2</x:v>
      </x:c>
      <x:c r="M221" s="13">
        <x:v>2</x:v>
      </x:c>
      <x:c r="N221" s="13">
        <x:v>2</x:v>
      </x:c>
      <x:c r="O221" s="13">
        <x:v>2</x:v>
      </x:c>
      <x:c r="P221" s="13">
        <x:v>2</x:v>
      </x:c>
      <x:c r="Q221" s="13" t="n">
        <x:f t="shared" si="7">COUNT(E221:P221)</x:f>
        <x:v>6</x:v>
      </x:c>
      <x:c r="R221" s="13" t="n">
        <x:f t="shared" si="8">SUM(E221:P221)</x:f>
        <x:v>12</x:v>
      </x:c>
      <x:c r="S221" s="14" t="n">
        <x:f>IF(Q221&gt;0,R221/Q221,"")</x:f>
        <x:v>2</x:v>
      </x:c>
      <x:c r="T221" s="15">
        <x:v>42108</x:v>
      </x:c>
      <x:c r="U221" s="15">
        <x:v>0</x:v>
      </x:c>
      <x:c r="V221" s="14">
        <x:v>1200000</x:v>
      </x:c>
      <x:c r="W221" s="14" t="n">
        <x:f>IF(AND(Q221&gt;0,S221&gt;0,V221&lt;&gt;""),V221/S221/Q221,"")</x:f>
        <x:v>100000</x:v>
      </x:c>
      <x:c r="X221" s="3" t="s">
        <x:v>641</x:v>
      </x:c>
    </x:row>
    <x:row r="222">
      <x:c r="A222" s="12" t="s">
        <x:v>626</x:v>
      </x:c>
      <x:c r="B222" s="3" t="s">
        <x:v>627</x:v>
      </x:c>
      <x:c r="C222" s="4" t="s">
        <x:v>642</x:v>
      </x:c>
      <x:c r="D222" s="5">
        <x:v>306</x:v>
      </x:c>
      <x:c r="E222" s="13">
        <x:v>1</x:v>
      </x:c>
      <x:c r="F222" s="13">
        <x:v>1</x:v>
      </x:c>
      <x:c r="G222" s="13">
        <x:v>1</x:v>
      </x:c>
      <x:c r="H222" s="13">
        <x:v>1</x:v>
      </x:c>
      <x:c r="I222" s="13">
        <x:v>1</x:v>
      </x:c>
      <x:c r="J222" s="13">
        <x:v>1</x:v>
      </x:c>
      <x:c r="K222" s="13">
        <x:v>1</x:v>
      </x:c>
      <x:c r="L222" s="13">
        <x:v>1</x:v>
      </x:c>
      <x:c r="M222" s="13">
        <x:v>1</x:v>
      </x:c>
      <x:c r="N222" s="13">
        <x:v>1</x:v>
      </x:c>
      <x:c r="O222" s="13">
        <x:v>1</x:v>
      </x:c>
      <x:c r="P222" s="13">
        <x:v>1</x:v>
      </x:c>
      <x:c r="Q222" s="13" t="n">
        <x:f t="shared" si="7">COUNT(E222:P222)</x:f>
        <x:v>12</x:v>
      </x:c>
      <x:c r="R222" s="13" t="n">
        <x:f t="shared" si="8">SUM(E222:P222)</x:f>
        <x:v>12</x:v>
      </x:c>
      <x:c r="S222" s="14" t="n">
        <x:f>IF(Q222&gt;0,R222/Q222,"")</x:f>
        <x:v>1</x:v>
      </x:c>
      <x:c r="T222" s="15">
        <x:v>43572</x:v>
      </x:c>
      <x:c r="U222" s="15">
        <x:v>62520</x:v>
      </x:c>
      <x:c r="V222" s="14">
        <x:v>1200000</x:v>
      </x:c>
      <x:c r="W222" s="14" t="n">
        <x:f>IF(AND(Q222&gt;0,S222&gt;0,V222&lt;&gt;""),V222/S222/Q222,"")</x:f>
        <x:v>100000</x:v>
      </x:c>
      <x:c r="X222" s="3" t="s">
        <x:v>643</x:v>
      </x:c>
    </x:row>
    <x:row r="223">
      <x:c r="A223" s="12" t="s">
        <x:v>626</x:v>
      </x:c>
      <x:c r="B223" s="3" t="s">
        <x:v>627</x:v>
      </x:c>
      <x:c r="C223" s="4" t="s">
        <x:v>644</x:v>
      </x:c>
      <x:c r="D223" s="5">
        <x:v>306</x:v>
      </x:c>
      <x:c r="E223" s="13">
        <x:v>1</x:v>
      </x:c>
      <x:c r="F223" s="13">
        <x:v>1</x:v>
      </x:c>
      <x:c r="G223" s="13">
        <x:v>1</x:v>
      </x:c>
      <x:c r="H223" s="13">
        <x:v>1</x:v>
      </x:c>
      <x:c r="I223" s="13">
        <x:v>1</x:v>
      </x:c>
      <x:c r="J223" s="13">
        <x:v>1</x:v>
      </x:c>
      <x:c r="K223" s="13"/>
      <x:c r="L223" s="13"/>
      <x:c r="M223" s="13"/>
      <x:c r="N223" s="13"/>
      <x:c r="O223" s="13"/>
      <x:c r="P223" s="13"/>
      <x:c r="Q223" s="13" t="n">
        <x:f t="shared" si="7">COUNT(E223:P223)</x:f>
        <x:v>6</x:v>
      </x:c>
      <x:c r="R223" s="13" t="n">
        <x:f t="shared" si="8">SUM(E223:P223)</x:f>
        <x:v>6</x:v>
      </x:c>
      <x:c r="S223" s="14" t="n">
        <x:f>IF(Q223&gt;0,R223/Q223,"")</x:f>
        <x:v>1</x:v>
      </x:c>
      <x:c r="T223" s="15">
        <x:v>21786</x:v>
      </x:c>
      <x:c r="U223" s="15">
        <x:v>31260</x:v>
      </x:c>
      <x:c r="V223" s="14">
        <x:v>600000</x:v>
      </x:c>
      <x:c r="W223" s="14" t="n">
        <x:f>IF(AND(Q223&gt;0,S223&gt;0,V223&lt;&gt;""),V223/S223/Q223,"")</x:f>
        <x:v>100000</x:v>
      </x:c>
      <x:c r="X223" s="3" t="s">
        <x:v>645</x:v>
      </x:c>
    </x:row>
    <x:row r="224">
      <x:c r="A224" s="12" t="s">
        <x:v>207</x:v>
      </x:c>
      <x:c r="B224" s="3" t="s">
        <x:v>376</x:v>
      </x:c>
      <x:c r="C224" s="4" t="s">
        <x:v>646</x:v>
      </x:c>
      <x:c r="D224" s="5">
        <x:v>306</x:v>
      </x:c>
      <x:c r="E224" s="13"/>
      <x:c r="F224" s="13"/>
      <x:c r="G224" s="13"/>
      <x:c r="H224" s="13">
        <x:v>1</x:v>
      </x:c>
      <x:c r="I224" s="13">
        <x:v>1</x:v>
      </x:c>
      <x:c r="J224" s="13">
        <x:v>1</x:v>
      </x:c>
      <x:c r="K224" s="13">
        <x:v>1</x:v>
      </x:c>
      <x:c r="L224" s="13">
        <x:v>1</x:v>
      </x:c>
      <x:c r="M224" s="13">
        <x:v>1</x:v>
      </x:c>
      <x:c r="N224" s="13"/>
      <x:c r="O224" s="13"/>
      <x:c r="P224" s="13"/>
      <x:c r="Q224" s="13" t="n">
        <x:f t="shared" si="7">COUNT(E224:P224)</x:f>
        <x:v>6</x:v>
      </x:c>
      <x:c r="R224" s="13" t="n">
        <x:f t="shared" si="8">SUM(E224:P224)</x:f>
        <x:v>6</x:v>
      </x:c>
      <x:c r="S224" s="14" t="n">
        <x:f>IF(Q224&gt;0,R224/Q224,"")</x:f>
        <x:v>1</x:v>
      </x:c>
      <x:c r="T224" s="15">
        <x:v>21786</x:v>
      </x:c>
      <x:c r="U224" s="15">
        <x:v>31260</x:v>
      </x:c>
      <x:c r="V224" s="14">
        <x:v>600000</x:v>
      </x:c>
      <x:c r="W224" s="14" t="n">
        <x:f>IF(AND(Q224&gt;0,S224&gt;0,V224&lt;&gt;""),V224/S224/Q224,"")</x:f>
        <x:v>100000</x:v>
      </x:c>
      <x:c r="X224" s="3" t="s">
        <x:v>647</x:v>
      </x:c>
    </x:row>
    <x:row r="225">
      <x:c r="A225" s="12" t="s">
        <x:v>220</x:v>
      </x:c>
      <x:c r="B225" s="3" t="s">
        <x:v>221</x:v>
      </x:c>
      <x:c r="C225" s="4" t="s">
        <x:v>648</x:v>
      </x:c>
      <x:c r="D225" s="5">
        <x:v>306</x:v>
      </x:c>
      <x:c r="E225" s="13">
        <x:v>3</x:v>
      </x:c>
      <x:c r="F225" s="13">
        <x:v>3</x:v>
      </x:c>
      <x:c r="G225" s="13">
        <x:v>3</x:v>
      </x:c>
      <x:c r="H225" s="13">
        <x:v>3</x:v>
      </x:c>
      <x:c r="I225" s="13">
        <x:v>3</x:v>
      </x:c>
      <x:c r="J225" s="13">
        <x:v>3</x:v>
      </x:c>
      <x:c r="K225" s="13">
        <x:v>3</x:v>
      </x:c>
      <x:c r="L225" s="13">
        <x:v>3</x:v>
      </x:c>
      <x:c r="M225" s="13">
        <x:v>3</x:v>
      </x:c>
      <x:c r="N225" s="13">
        <x:v>3</x:v>
      </x:c>
      <x:c r="O225" s="13">
        <x:v>3</x:v>
      </x:c>
      <x:c r="P225" s="13">
        <x:v>3</x:v>
      </x:c>
      <x:c r="Q225" s="13" t="n">
        <x:f t="shared" si="7">COUNT(E225:P225)</x:f>
        <x:v>12</x:v>
      </x:c>
      <x:c r="R225" s="13" t="n">
        <x:f t="shared" si="8">SUM(E225:P225)</x:f>
        <x:v>36</x:v>
      </x:c>
      <x:c r="S225" s="14" t="n">
        <x:f>IF(Q225&gt;0,R225/Q225,"")</x:f>
        <x:v>3</x:v>
      </x:c>
      <x:c r="T225" s="15">
        <x:v>100440</x:v>
      </x:c>
      <x:c r="U225" s="15">
        <x:v>0</x:v>
      </x:c>
      <x:c r="V225" s="14">
        <x:v>3600000</x:v>
      </x:c>
      <x:c r="W225" s="14" t="n">
        <x:f>IF(AND(Q225&gt;0,S225&gt;0,V225&lt;&gt;""),V225/S225/Q225,"")</x:f>
        <x:v>100000</x:v>
      </x:c>
      <x:c r="X225" s="3" t="s">
        <x:v>649</x:v>
      </x:c>
    </x:row>
    <x:row r="226">
      <x:c r="A226" s="12" t="s">
        <x:v>601</x:v>
      </x:c>
      <x:c r="B226" s="3" t="s">
        <x:v>602</x:v>
      </x:c>
      <x:c r="C226" s="4" t="s">
        <x:v>650</x:v>
      </x:c>
      <x:c r="D226" s="5">
        <x:v>306</x:v>
      </x:c>
      <x:c r="E226" s="13"/>
      <x:c r="F226" s="13"/>
      <x:c r="G226" s="13"/>
      <x:c r="H226" s="13"/>
      <x:c r="I226" s="13"/>
      <x:c r="J226" s="13"/>
      <x:c r="K226" s="13">
        <x:v>13</x:v>
      </x:c>
      <x:c r="L226" s="13">
        <x:v>14</x:v>
      </x:c>
      <x:c r="M226" s="13">
        <x:v>15</x:v>
      </x:c>
      <x:c r="N226" s="13">
        <x:v>13</x:v>
      </x:c>
      <x:c r="O226" s="13">
        <x:v>13</x:v>
      </x:c>
      <x:c r="P226" s="13">
        <x:v>13</x:v>
      </x:c>
      <x:c r="Q226" s="13" t="n">
        <x:f t="shared" si="7">COUNT(E226:P226)</x:f>
        <x:v>6</x:v>
      </x:c>
      <x:c r="R226" s="13" t="n">
        <x:f t="shared" si="8">SUM(E226:P226)</x:f>
        <x:v>81</x:v>
      </x:c>
      <x:c r="S226" s="14" t="n">
        <x:f>IF(Q226&gt;0,R226/Q226,"")</x:f>
        <x:v>13.5</x:v>
      </x:c>
      <x:c r="T226" s="15">
        <x:v>112099</x:v>
      </x:c>
      <x:c r="U226" s="15">
        <x:v>0</x:v>
      </x:c>
      <x:c r="V226" s="14">
        <x:v>8034442</x:v>
      </x:c>
      <x:c r="W226" s="14" t="n">
        <x:f>IF(AND(Q226&gt;0,S226&gt;0,V226&lt;&gt;""),V226/S226/Q226,"")</x:f>
        <x:v>99190.64197530864</x:v>
      </x:c>
      <x:c r="X226" s="3" t="s">
        <x:v>651</x:v>
      </x:c>
    </x:row>
    <x:row r="227">
      <x:c r="A227" s="12" t="s">
        <x:v>71</x:v>
      </x:c>
      <x:c r="B227" s="3" t="s">
        <x:v>72</x:v>
      </x:c>
      <x:c r="C227" s="4" t="s">
        <x:v>652</x:v>
      </x:c>
      <x:c r="D227" s="5">
        <x:v>306</x:v>
      </x:c>
      <x:c r="E227" s="13">
        <x:v>1</x:v>
      </x:c>
      <x:c r="F227" s="13">
        <x:v>1</x:v>
      </x:c>
      <x:c r="G227" s="13">
        <x:v>1</x:v>
      </x:c>
      <x:c r="H227" s="13">
        <x:v>1</x:v>
      </x:c>
      <x:c r="I227" s="13">
        <x:v>1</x:v>
      </x:c>
      <x:c r="J227" s="13">
        <x:v>1</x:v>
      </x:c>
      <x:c r="K227" s="13">
        <x:v>1</x:v>
      </x:c>
      <x:c r="L227" s="13">
        <x:v>1</x:v>
      </x:c>
      <x:c r="M227" s="13">
        <x:v>1</x:v>
      </x:c>
      <x:c r="N227" s="13">
        <x:v>1</x:v>
      </x:c>
      <x:c r="O227" s="13">
        <x:v>1</x:v>
      </x:c>
      <x:c r="P227" s="13">
        <x:v>1</x:v>
      </x:c>
      <x:c r="Q227" s="13" t="n">
        <x:f t="shared" si="7">COUNT(E227:P227)</x:f>
        <x:v>12</x:v>
      </x:c>
      <x:c r="R227" s="13" t="n">
        <x:f t="shared" si="8">SUM(E227:P227)</x:f>
        <x:v>12</x:v>
      </x:c>
      <x:c r="S227" s="14" t="n">
        <x:f>IF(Q227&gt;0,R227/Q227,"")</x:f>
        <x:v>1</x:v>
      </x:c>
      <x:c r="T227" s="15">
        <x:v>36585</x:v>
      </x:c>
      <x:c r="U227" s="15">
        <x:v>61859</x:v>
      </x:c>
      <x:c r="V227" s="14">
        <x:v>1190000</x:v>
      </x:c>
      <x:c r="W227" s="14" t="n">
        <x:f>IF(AND(Q227&gt;0,S227&gt;0,V227&lt;&gt;""),V227/S227/Q227,"")</x:f>
        <x:v>99166.66666666667</x:v>
      </x:c>
      <x:c r="X227" s="3" t="s">
        <x:v>653</x:v>
      </x:c>
    </x:row>
    <x:row r="228">
      <x:c r="A228" s="12" t="s">
        <x:v>654</x:v>
      </x:c>
      <x:c r="B228" s="3" t="s">
        <x:v>655</x:v>
      </x:c>
      <x:c r="C228" s="4" t="s">
        <x:v>656</x:v>
      </x:c>
      <x:c r="D228" s="5">
        <x:v>306</x:v>
      </x:c>
      <x:c r="E228" s="13">
        <x:v>5</x:v>
      </x:c>
      <x:c r="F228" s="13">
        <x:v>5</x:v>
      </x:c>
      <x:c r="G228" s="13">
        <x:v>5</x:v>
      </x:c>
      <x:c r="H228" s="13"/>
      <x:c r="I228" s="13"/>
      <x:c r="J228" s="13"/>
      <x:c r="K228" s="13"/>
      <x:c r="L228" s="13"/>
      <x:c r="M228" s="13"/>
      <x:c r="N228" s="13"/>
      <x:c r="O228" s="13"/>
      <x:c r="P228" s="13"/>
      <x:c r="Q228" s="13" t="n">
        <x:f t="shared" si="7">COUNT(E228:P228)</x:f>
        <x:v>3</x:v>
      </x:c>
      <x:c r="R228" s="13" t="n">
        <x:f t="shared" si="8">SUM(E228:P228)</x:f>
        <x:v>15</x:v>
      </x:c>
      <x:c r="S228" s="14" t="n">
        <x:f>IF(Q228&gt;0,R228/Q228,"")</x:f>
        <x:v>5</x:v>
      </x:c>
      <x:c r="T228" s="15">
        <x:v>693</x:v>
      </x:c>
      <x:c r="U228" s="15">
        <x:v>0</x:v>
      </x:c>
      <x:c r="V228" s="14">
        <x:v>1470000</x:v>
      </x:c>
      <x:c r="W228" s="14" t="n">
        <x:f>IF(AND(Q228&gt;0,S228&gt;0,V228&lt;&gt;""),V228/S228/Q228,"")</x:f>
        <x:v>98000</x:v>
      </x:c>
      <x:c r="X228" s="3" t="s">
        <x:v>657</x:v>
      </x:c>
    </x:row>
    <x:row r="229">
      <x:c r="A229" s="12" t="s">
        <x:v>259</x:v>
      </x:c>
      <x:c r="B229" s="3" t="s">
        <x:v>260</x:v>
      </x:c>
      <x:c r="C229" s="4" t="s">
        <x:v>658</x:v>
      </x:c>
      <x:c r="D229" s="5">
        <x:v>306</x:v>
      </x:c>
      <x:c r="E229" s="13">
        <x:v>15</x:v>
      </x:c>
      <x:c r="F229" s="13">
        <x:v>17</x:v>
      </x:c>
      <x:c r="G229" s="13">
        <x:v>16</x:v>
      </x:c>
      <x:c r="H229" s="13">
        <x:v>8</x:v>
      </x:c>
      <x:c r="I229" s="13">
        <x:v>8</x:v>
      </x:c>
      <x:c r="J229" s="13">
        <x:v>8</x:v>
      </x:c>
      <x:c r="K229" s="13">
        <x:v>7</x:v>
      </x:c>
      <x:c r="L229" s="13">
        <x:v>7</x:v>
      </x:c>
      <x:c r="M229" s="13">
        <x:v>7</x:v>
      </x:c>
      <x:c r="N229" s="13">
        <x:v>8</x:v>
      </x:c>
      <x:c r="O229" s="13">
        <x:v>8</x:v>
      </x:c>
      <x:c r="P229" s="13">
        <x:v>7</x:v>
      </x:c>
      <x:c r="Q229" s="13" t="n">
        <x:f t="shared" si="7">COUNT(E229:P229)</x:f>
        <x:v>12</x:v>
      </x:c>
      <x:c r="R229" s="13" t="n">
        <x:f t="shared" si="8">SUM(E229:P229)</x:f>
        <x:v>116</x:v>
      </x:c>
      <x:c r="S229" s="14" t="n">
        <x:f>IF(Q229&gt;0,R229/Q229,"")</x:f>
        <x:v>9.666666666666666</x:v>
      </x:c>
      <x:c r="T229" s="15">
        <x:v>673736</x:v>
      </x:c>
      <x:c r="U229" s="15">
        <x:v>569031</x:v>
      </x:c>
      <x:c r="V229" s="14">
        <x:v>11331329</x:v>
      </x:c>
      <x:c r="W229" s="14" t="n">
        <x:f>IF(AND(Q229&gt;0,S229&gt;0,V229&lt;&gt;""),V229/S229/Q229,"")</x:f>
        <x:v>97683.87068965517</x:v>
      </x:c>
      <x:c r="X229" s="3" t="s">
        <x:v>659</x:v>
      </x:c>
    </x:row>
    <x:row r="230">
      <x:c r="A230" s="12" t="s">
        <x:v>660</x:v>
      </x:c>
      <x:c r="B230" s="3" t="s">
        <x:v>661</x:v>
      </x:c>
      <x:c r="C230" s="4" t="s">
        <x:v>662</x:v>
      </x:c>
      <x:c r="D230" s="5">
        <x:v>306</x:v>
      </x:c>
      <x:c r="E230" s="13">
        <x:v>230</x:v>
      </x:c>
      <x:c r="F230" s="13">
        <x:v>240</x:v>
      </x:c>
      <x:c r="G230" s="13">
        <x:v>244</x:v>
      </x:c>
      <x:c r="H230" s="13">
        <x:v>114</x:v>
      </x:c>
      <x:c r="I230" s="13">
        <x:v>113</x:v>
      </x:c>
      <x:c r="J230" s="13">
        <x:v>94</x:v>
      </x:c>
      <x:c r="K230" s="13">
        <x:v>93</x:v>
      </x:c>
      <x:c r="L230" s="13">
        <x:v>92</x:v>
      </x:c>
      <x:c r="M230" s="13">
        <x:v>112</x:v>
      </x:c>
      <x:c r="N230" s="13"/>
      <x:c r="O230" s="13"/>
      <x:c r="P230" s="13"/>
      <x:c r="Q230" s="13" t="n">
        <x:f t="shared" si="7">COUNT(E230:P230)</x:f>
        <x:v>9</x:v>
      </x:c>
      <x:c r="R230" s="13" t="n">
        <x:f t="shared" si="8">SUM(E230:P230)</x:f>
        <x:v>1332</x:v>
      </x:c>
      <x:c r="S230" s="14" t="n">
        <x:f>IF(Q230&gt;0,R230/Q230,"")</x:f>
        <x:v>148</x:v>
      </x:c>
      <x:c r="T230" s="15">
        <x:v>6347966</x:v>
      </x:c>
      <x:c r="U230" s="15">
        <x:v>6839480</x:v>
      </x:c>
      <x:c r="V230" s="14">
        <x:v>129767871</x:v>
      </x:c>
      <x:c r="W230" s="14" t="n">
        <x:f>IF(AND(Q230&gt;0,S230&gt;0,V230&lt;&gt;""),V230/S230/Q230,"")</x:f>
        <x:v>97423.32657657658</x:v>
      </x:c>
      <x:c r="X230" s="3" t="s">
        <x:v>663</x:v>
      </x:c>
    </x:row>
    <x:row r="231">
      <x:c r="A231" s="12" t="s">
        <x:v>220</x:v>
      </x:c>
      <x:c r="B231" s="3" t="s">
        <x:v>221</x:v>
      </x:c>
      <x:c r="C231" s="4" t="s">
        <x:v>664</x:v>
      </x:c>
      <x:c r="D231" s="5">
        <x:v>306</x:v>
      </x:c>
      <x:c r="E231" s="13">
        <x:v>3</x:v>
      </x:c>
      <x:c r="F231" s="13">
        <x:v>3</x:v>
      </x:c>
      <x:c r="G231" s="13">
        <x:v>3</x:v>
      </x:c>
      <x:c r="H231" s="13">
        <x:v>3</x:v>
      </x:c>
      <x:c r="I231" s="13">
        <x:v>4</x:v>
      </x:c>
      <x:c r="J231" s="13">
        <x:v>4</x:v>
      </x:c>
      <x:c r="K231" s="13">
        <x:v>1</x:v>
      </x:c>
      <x:c r="L231" s="13">
        <x:v>1</x:v>
      </x:c>
      <x:c r="M231" s="13">
        <x:v>1</x:v>
      </x:c>
      <x:c r="N231" s="13">
        <x:v>1</x:v>
      </x:c>
      <x:c r="O231" s="13">
        <x:v>1</x:v>
      </x:c>
      <x:c r="P231" s="13">
        <x:v>1</x:v>
      </x:c>
      <x:c r="Q231" s="13" t="n">
        <x:f t="shared" si="7">COUNT(E231:P231)</x:f>
        <x:v>12</x:v>
      </x:c>
      <x:c r="R231" s="13" t="n">
        <x:f t="shared" si="8">SUM(E231:P231)</x:f>
        <x:v>26</x:v>
      </x:c>
      <x:c r="S231" s="14" t="n">
        <x:f>IF(Q231&gt;0,R231/Q231,"")</x:f>
        <x:v>2.1666666666666665</x:v>
      </x:c>
      <x:c r="T231" s="15">
        <x:v>67131</x:v>
      </x:c>
      <x:c r="U231" s="15">
        <x:v>0</x:v>
      </x:c>
      <x:c r="V231" s="14">
        <x:v>2471500</x:v>
      </x:c>
      <x:c r="W231" s="14" t="n">
        <x:f>IF(AND(Q231&gt;0,S231&gt;0,V231&lt;&gt;""),V231/S231/Q231,"")</x:f>
        <x:v>95057.69230769231</x:v>
      </x:c>
      <x:c r="X231" s="3" t="s">
        <x:v>665</x:v>
      </x:c>
    </x:row>
    <x:row r="232">
      <x:c r="A232" s="12" t="s">
        <x:v>316</x:v>
      </x:c>
      <x:c r="B232" s="3" t="s">
        <x:v>317</x:v>
      </x:c>
      <x:c r="C232" s="4" t="s">
        <x:v>666</x:v>
      </x:c>
      <x:c r="D232" s="5">
        <x:v>306</x:v>
      </x:c>
      <x:c r="E232" s="13">
        <x:v>6</x:v>
      </x:c>
      <x:c r="F232" s="13">
        <x:v>6</x:v>
      </x:c>
      <x:c r="G232" s="13">
        <x:v>6</x:v>
      </x:c>
      <x:c r="H232" s="13">
        <x:v>6</x:v>
      </x:c>
      <x:c r="I232" s="13">
        <x:v>6</x:v>
      </x:c>
      <x:c r="J232" s="13">
        <x:v>6</x:v>
      </x:c>
      <x:c r="K232" s="13">
        <x:v>4</x:v>
      </x:c>
      <x:c r="L232" s="13">
        <x:v>4</x:v>
      </x:c>
      <x:c r="M232" s="13">
        <x:v>5</x:v>
      </x:c>
      <x:c r="N232" s="13">
        <x:v>5</x:v>
      </x:c>
      <x:c r="O232" s="13">
        <x:v>5</x:v>
      </x:c>
      <x:c r="P232" s="13">
        <x:v>4</x:v>
      </x:c>
      <x:c r="Q232" s="13" t="n">
        <x:f t="shared" si="7">COUNT(E232:P232)</x:f>
        <x:v>12</x:v>
      </x:c>
      <x:c r="R232" s="13" t="n">
        <x:f t="shared" si="8">SUM(E232:P232)</x:f>
        <x:v>63</x:v>
      </x:c>
      <x:c r="S232" s="14" t="n">
        <x:f>IF(Q232&gt;0,R232/Q232,"")</x:f>
        <x:v>5.25</x:v>
      </x:c>
      <x:c r="T232" s="15">
        <x:v>96098</x:v>
      </x:c>
      <x:c r="U232" s="15">
        <x:v>297045</x:v>
      </x:c>
      <x:c r="V232" s="14">
        <x:v>5953846</x:v>
      </x:c>
      <x:c r="W232" s="14" t="n">
        <x:f>IF(AND(Q232&gt;0,S232&gt;0,V232&lt;&gt;""),V232/S232/Q232,"")</x:f>
        <x:v>94505.49206349207</x:v>
      </x:c>
      <x:c r="X232" s="3" t="s">
        <x:v>667</x:v>
      </x:c>
    </x:row>
    <x:row r="233">
      <x:c r="A233" s="12" t="s">
        <x:v>668</x:v>
      </x:c>
      <x:c r="B233" s="3" t="s">
        <x:v>669</x:v>
      </x:c>
      <x:c r="C233" s="4" t="s">
        <x:v>670</x:v>
      </x:c>
      <x:c r="D233" s="5">
        <x:v>306</x:v>
      </x:c>
      <x:c r="E233" s="13">
        <x:v>1</x:v>
      </x:c>
      <x:c r="F233" s="13">
        <x:v>2</x:v>
      </x:c>
      <x:c r="G233" s="13">
        <x:v>1</x:v>
      </x:c>
      <x:c r="H233" s="13">
        <x:v>1</x:v>
      </x:c>
      <x:c r="I233" s="13">
        <x:v>1</x:v>
      </x:c>
      <x:c r="J233" s="13">
        <x:v>1</x:v>
      </x:c>
      <x:c r="K233" s="13">
        <x:v>1</x:v>
      </x:c>
      <x:c r="L233" s="13">
        <x:v>1</x:v>
      </x:c>
      <x:c r="M233" s="13">
        <x:v>1</x:v>
      </x:c>
      <x:c r="N233" s="13">
        <x:v>1</x:v>
      </x:c>
      <x:c r="O233" s="13">
        <x:v>1</x:v>
      </x:c>
      <x:c r="P233" s="13">
        <x:v>1</x:v>
      </x:c>
      <x:c r="Q233" s="13" t="n">
        <x:f t="shared" si="7">COUNT(E233:P233)</x:f>
        <x:v>12</x:v>
      </x:c>
      <x:c r="R233" s="13" t="n">
        <x:f t="shared" si="8">SUM(E233:P233)</x:f>
        <x:v>13</x:v>
      </x:c>
      <x:c r="S233" s="14" t="n">
        <x:f>IF(Q233&gt;0,R233/Q233,"")</x:f>
        <x:v>1.0833333333333333</x:v>
      </x:c>
      <x:c r="T233" s="15">
        <x:v>40924</x:v>
      </x:c>
      <x:c r="U233" s="15">
        <x:v>51911</x:v>
      </x:c>
      <x:c r="V233" s="14">
        <x:v>1224470</x:v>
      </x:c>
      <x:c r="W233" s="14" t="n">
        <x:f>IF(AND(Q233&gt;0,S233&gt;0,V233&lt;&gt;""),V233/S233/Q233,"")</x:f>
        <x:v>94190</x:v>
      </x:c>
      <x:c r="X233" s="3" t="s">
        <x:v>671</x:v>
      </x:c>
    </x:row>
    <x:row r="234">
      <x:c r="A234" s="12" t="s">
        <x:v>672</x:v>
      </x:c>
      <x:c r="B234" s="3" t="s">
        <x:v>673</x:v>
      </x:c>
      <x:c r="C234" s="4" t="s">
        <x:v>674</x:v>
      </x:c>
      <x:c r="D234" s="5">
        <x:v>306</x:v>
      </x:c>
      <x:c r="E234" s="13">
        <x:v>8</x:v>
      </x:c>
      <x:c r="F234" s="13">
        <x:v>7</x:v>
      </x:c>
      <x:c r="G234" s="13">
        <x:v>7</x:v>
      </x:c>
      <x:c r="H234" s="13">
        <x:v>9</x:v>
      </x:c>
      <x:c r="I234" s="13">
        <x:v>8</x:v>
      </x:c>
      <x:c r="J234" s="13">
        <x:v>8</x:v>
      </x:c>
      <x:c r="K234" s="13">
        <x:v>8</x:v>
      </x:c>
      <x:c r="L234" s="13">
        <x:v>8</x:v>
      </x:c>
      <x:c r="M234" s="13">
        <x:v>7</x:v>
      </x:c>
      <x:c r="N234" s="13">
        <x:v>7</x:v>
      </x:c>
      <x:c r="O234" s="13">
        <x:v>7</x:v>
      </x:c>
      <x:c r="P234" s="13">
        <x:v>7</x:v>
      </x:c>
      <x:c r="Q234" s="13" t="n">
        <x:f t="shared" si="7">COUNT(E234:P234)</x:f>
        <x:v>12</x:v>
      </x:c>
      <x:c r="R234" s="13" t="n">
        <x:f t="shared" si="8">SUM(E234:P234)</x:f>
        <x:v>91</x:v>
      </x:c>
      <x:c r="S234" s="14" t="n">
        <x:f>IF(Q234&gt;0,R234/Q234,"")</x:f>
        <x:v>7.583333333333333</x:v>
      </x:c>
      <x:c r="T234" s="15">
        <x:v>114621</x:v>
      </x:c>
      <x:c r="U234" s="15">
        <x:v>0</x:v>
      </x:c>
      <x:c r="V234" s="14">
        <x:v>8515000</x:v>
      </x:c>
      <x:c r="W234" s="14" t="n">
        <x:f>IF(AND(Q234&gt;0,S234&gt;0,V234&lt;&gt;""),V234/S234/Q234,"")</x:f>
        <x:v>93571.42857142858</x:v>
      </x:c>
      <x:c r="X234" s="3" t="s">
        <x:v>675</x:v>
      </x:c>
    </x:row>
    <x:row r="235">
      <x:c r="A235" s="12" t="s">
        <x:v>220</x:v>
      </x:c>
      <x:c r="B235" s="3" t="s">
        <x:v>676</x:v>
      </x:c>
      <x:c r="C235" s="4" t="s">
        <x:v>677</x:v>
      </x:c>
      <x:c r="D235" s="5">
        <x:v>306</x:v>
      </x:c>
      <x:c r="E235" s="13">
        <x:v>5</x:v>
      </x:c>
      <x:c r="F235" s="13">
        <x:v>5</x:v>
      </x:c>
      <x:c r="G235" s="13">
        <x:v>6</x:v>
      </x:c>
      <x:c r="H235" s="13">
        <x:v>5</x:v>
      </x:c>
      <x:c r="I235" s="13">
        <x:v>5</x:v>
      </x:c>
      <x:c r="J235" s="13">
        <x:v>6</x:v>
      </x:c>
      <x:c r="K235" s="13">
        <x:v>7</x:v>
      </x:c>
      <x:c r="L235" s="13">
        <x:v>7</x:v>
      </x:c>
      <x:c r="M235" s="13">
        <x:v>7</x:v>
      </x:c>
      <x:c r="N235" s="13">
        <x:v>7</x:v>
      </x:c>
      <x:c r="O235" s="13">
        <x:v>7</x:v>
      </x:c>
      <x:c r="P235" s="13">
        <x:v>7</x:v>
      </x:c>
      <x:c r="Q235" s="13" t="n">
        <x:f t="shared" si="7">COUNT(E235:P235)</x:f>
        <x:v>12</x:v>
      </x:c>
      <x:c r="R235" s="13" t="n">
        <x:f t="shared" si="8">SUM(E235:P235)</x:f>
        <x:v>74</x:v>
      </x:c>
      <x:c r="S235" s="14" t="n">
        <x:f>IF(Q235&gt;0,R235/Q235,"")</x:f>
        <x:v>6.166666666666667</x:v>
      </x:c>
      <x:c r="T235" s="15">
        <x:v>15939</x:v>
      </x:c>
      <x:c r="U235" s="15">
        <x:v>0</x:v>
      </x:c>
      <x:c r="V235" s="14">
        <x:v>6885000</x:v>
      </x:c>
      <x:c r="W235" s="14" t="n">
        <x:f>IF(AND(Q235&gt;0,S235&gt;0,V235&lt;&gt;""),V235/S235/Q235,"")</x:f>
        <x:v>93040.54054054053</x:v>
      </x:c>
      <x:c r="X235" s="3" t="s">
        <x:v>678</x:v>
      </x:c>
    </x:row>
    <x:row r="236">
      <x:c r="A236" s="12" t="s">
        <x:v>220</x:v>
      </x:c>
      <x:c r="B236" s="3" t="s">
        <x:v>605</x:v>
      </x:c>
      <x:c r="C236" s="4" t="s">
        <x:v>679</x:v>
      </x:c>
      <x:c r="D236" s="5">
        <x:v>306</x:v>
      </x:c>
      <x:c r="E236" s="13">
        <x:v>3</x:v>
      </x:c>
      <x:c r="F236" s="13">
        <x:v>3</x:v>
      </x:c>
      <x:c r="G236" s="13">
        <x:v>3</x:v>
      </x:c>
      <x:c r="H236" s="13">
        <x:v>3</x:v>
      </x:c>
      <x:c r="I236" s="13">
        <x:v>3</x:v>
      </x:c>
      <x:c r="J236" s="13">
        <x:v>3</x:v>
      </x:c>
      <x:c r="K236" s="13">
        <x:v>3</x:v>
      </x:c>
      <x:c r="L236" s="13">
        <x:v>3</x:v>
      </x:c>
      <x:c r="M236" s="13">
        <x:v>3</x:v>
      </x:c>
      <x:c r="N236" s="13">
        <x:v>2</x:v>
      </x:c>
      <x:c r="O236" s="13">
        <x:v>2</x:v>
      </x:c>
      <x:c r="P236" s="13">
        <x:v>2</x:v>
      </x:c>
      <x:c r="Q236" s="13" t="n">
        <x:f t="shared" si="7">COUNT(E236:P236)</x:f>
        <x:v>12</x:v>
      </x:c>
      <x:c r="R236" s="13" t="n">
        <x:f t="shared" si="8">SUM(E236:P236)</x:f>
        <x:v>33</x:v>
      </x:c>
      <x:c r="S236" s="14" t="n">
        <x:f>IF(Q236&gt;0,R236/Q236,"")</x:f>
        <x:v>2.75</x:v>
      </x:c>
      <x:c r="T236" s="15">
        <x:v>8316</x:v>
      </x:c>
      <x:c r="U236" s="15">
        <x:v>0</x:v>
      </x:c>
      <x:c r="V236" s="14">
        <x:v>3060000</x:v>
      </x:c>
      <x:c r="W236" s="14" t="n">
        <x:f>IF(AND(Q236&gt;0,S236&gt;0,V236&lt;&gt;""),V236/S236/Q236,"")</x:f>
        <x:v>92727.27272727272</x:v>
      </x:c>
      <x:c r="X236" s="3" t="s">
        <x:v>680</x:v>
      </x:c>
    </x:row>
    <x:row r="237">
      <x:c r="A237" s="12" t="s">
        <x:v>344</x:v>
      </x:c>
      <x:c r="B237" s="3" t="s">
        <x:v>345</x:v>
      </x:c>
      <x:c r="C237" s="4" t="s">
        <x:v>681</x:v>
      </x:c>
      <x:c r="D237" s="5">
        <x:v>306</x:v>
      </x:c>
      <x:c r="E237" s="13">
        <x:v>3</x:v>
      </x:c>
      <x:c r="F237" s="13">
        <x:v>3</x:v>
      </x:c>
      <x:c r="G237" s="13">
        <x:v>3</x:v>
      </x:c>
      <x:c r="H237" s="13">
        <x:v>3</x:v>
      </x:c>
      <x:c r="I237" s="13"/>
      <x:c r="J237" s="13"/>
      <x:c r="K237" s="13"/>
      <x:c r="L237" s="13"/>
      <x:c r="M237" s="13"/>
      <x:c r="N237" s="13"/>
      <x:c r="O237" s="13"/>
      <x:c r="P237" s="13"/>
      <x:c r="Q237" s="13" t="n">
        <x:f t="shared" si="7">COUNT(E237:P237)</x:f>
        <x:v>4</x:v>
      </x:c>
      <x:c r="R237" s="13" t="n">
        <x:f t="shared" si="8">SUM(E237:P237)</x:f>
        <x:v>12</x:v>
      </x:c>
      <x:c r="S237" s="14" t="n">
        <x:f>IF(Q237&gt;0,R237/Q237,"")</x:f>
        <x:v>3</x:v>
      </x:c>
      <x:c r="T237" s="15">
        <x:v>50100</x:v>
      </x:c>
      <x:c r="U237" s="15">
        <x:v>68152</x:v>
      </x:c>
      <x:c r="V237" s="14">
        <x:v>1109272</x:v>
      </x:c>
      <x:c r="W237" s="14" t="n">
        <x:f>IF(AND(Q237&gt;0,S237&gt;0,V237&lt;&gt;""),V237/S237/Q237,"")</x:f>
        <x:v>92439.33333333333</x:v>
      </x:c>
      <x:c r="X237" s="3" t="s">
        <x:v>682</x:v>
      </x:c>
    </x:row>
    <x:row r="238">
      <x:c r="A238" s="12" t="s">
        <x:v>220</x:v>
      </x:c>
      <x:c r="B238" s="3" t="s">
        <x:v>221</x:v>
      </x:c>
      <x:c r="C238" s="4" t="s">
        <x:v>683</x:v>
      </x:c>
      <x:c r="D238" s="5">
        <x:v>306</x:v>
      </x:c>
      <x:c r="E238" s="13"/>
      <x:c r="F238" s="13"/>
      <x:c r="G238" s="13"/>
      <x:c r="H238" s="13"/>
      <x:c r="I238" s="13"/>
      <x:c r="J238" s="13"/>
      <x:c r="K238" s="13"/>
      <x:c r="L238" s="13"/>
      <x:c r="M238" s="13"/>
      <x:c r="N238" s="13"/>
      <x:c r="O238" s="13">
        <x:v>5</x:v>
      </x:c>
      <x:c r="P238" s="13">
        <x:v>5</x:v>
      </x:c>
      <x:c r="Q238" s="13" t="n">
        <x:f t="shared" si="7">COUNT(E238:P238)</x:f>
        <x:v>2</x:v>
      </x:c>
      <x:c r="R238" s="13" t="n">
        <x:f t="shared" si="8">SUM(E238:P238)</x:f>
        <x:v>10</x:v>
      </x:c>
      <x:c r="S238" s="14" t="n">
        <x:f>IF(Q238&gt;0,R238/Q238,"")</x:f>
        <x:v>5</x:v>
      </x:c>
      <x:c r="T238" s="15">
        <x:v>16636</x:v>
      </x:c>
      <x:c r="U238" s="15">
        <x:v>0</x:v>
      </x:c>
      <x:c r="V238" s="14">
        <x:v>910949</x:v>
      </x:c>
      <x:c r="W238" s="14" t="n">
        <x:f>IF(AND(Q238&gt;0,S238&gt;0,V238&lt;&gt;""),V238/S238/Q238,"")</x:f>
        <x:v>91094.9</x:v>
      </x:c>
      <x:c r="X238" s="3" t="s">
        <x:v>684</x:v>
      </x:c>
    </x:row>
    <x:row r="239">
      <x:c r="A239" s="12" t="s">
        <x:v>685</x:v>
      </x:c>
      <x:c r="B239" s="3" t="s">
        <x:v>686</x:v>
      </x:c>
      <x:c r="C239" s="4" t="s">
        <x:v>687</x:v>
      </x:c>
      <x:c r="D239" s="5">
        <x:v>306</x:v>
      </x:c>
      <x:c r="E239" s="13">
        <x:v>6</x:v>
      </x:c>
      <x:c r="F239" s="13">
        <x:v>6</x:v>
      </x:c>
      <x:c r="G239" s="13">
        <x:v>6</x:v>
      </x:c>
      <x:c r="H239" s="13">
        <x:v>6</x:v>
      </x:c>
      <x:c r="I239" s="13">
        <x:v>6</x:v>
      </x:c>
      <x:c r="J239" s="13">
        <x:v>6</x:v>
      </x:c>
      <x:c r="K239" s="13">
        <x:v>6</x:v>
      </x:c>
      <x:c r="L239" s="13">
        <x:v>6</x:v>
      </x:c>
      <x:c r="M239" s="13">
        <x:v>6</x:v>
      </x:c>
      <x:c r="N239" s="13">
        <x:v>6</x:v>
      </x:c>
      <x:c r="O239" s="13">
        <x:v>6</x:v>
      </x:c>
      <x:c r="P239" s="13">
        <x:v>6</x:v>
      </x:c>
      <x:c r="Q239" s="13" t="n">
        <x:f t="shared" si="7">COUNT(E239:P239)</x:f>
        <x:v>12</x:v>
      </x:c>
      <x:c r="R239" s="13" t="n">
        <x:f t="shared" si="8">SUM(E239:P239)</x:f>
        <x:v>72</x:v>
      </x:c>
      <x:c r="S239" s="14" t="n">
        <x:f>IF(Q239&gt;0,R239/Q239,"")</x:f>
        <x:v>6</x:v>
      </x:c>
      <x:c r="T239" s="15">
        <x:v>43003</x:v>
      </x:c>
      <x:c r="U239" s="15">
        <x:v>374189</x:v>
      </x:c>
      <x:c r="V239" s="14">
        <x:v>6521575</x:v>
      </x:c>
      <x:c r="W239" s="14" t="n">
        <x:f>IF(AND(Q239&gt;0,S239&gt;0,V239&lt;&gt;""),V239/S239/Q239,"")</x:f>
        <x:v>90577.43055555556</x:v>
      </x:c>
      <x:c r="X239" s="3" t="s">
        <x:v>688</x:v>
      </x:c>
    </x:row>
    <x:row r="240">
      <x:c r="A240" s="12" t="s">
        <x:v>71</x:v>
      </x:c>
      <x:c r="B240" s="3" t="s">
        <x:v>72</x:v>
      </x:c>
      <x:c r="C240" s="4" t="s">
        <x:v>689</x:v>
      </x:c>
      <x:c r="D240" s="5">
        <x:v>306</x:v>
      </x:c>
      <x:c r="E240" s="13">
        <x:v>4</x:v>
      </x:c>
      <x:c r="F240" s="13">
        <x:v>4</x:v>
      </x:c>
      <x:c r="G240" s="13">
        <x:v>3</x:v>
      </x:c>
      <x:c r="H240" s="13">
        <x:v>3</x:v>
      </x:c>
      <x:c r="I240" s="13">
        <x:v>3</x:v>
      </x:c>
      <x:c r="J240" s="13">
        <x:v>3</x:v>
      </x:c>
      <x:c r="K240" s="13">
        <x:v>3</x:v>
      </x:c>
      <x:c r="L240" s="13">
        <x:v>3</x:v>
      </x:c>
      <x:c r="M240" s="13">
        <x:v>3</x:v>
      </x:c>
      <x:c r="N240" s="13">
        <x:v>3</x:v>
      </x:c>
      <x:c r="O240" s="13">
        <x:v>3</x:v>
      </x:c>
      <x:c r="P240" s="13">
        <x:v>3</x:v>
      </x:c>
      <x:c r="Q240" s="13" t="n">
        <x:f t="shared" si="7">COUNT(E240:P240)</x:f>
        <x:v>12</x:v>
      </x:c>
      <x:c r="R240" s="13" t="n">
        <x:f t="shared" si="8">SUM(E240:P240)</x:f>
        <x:v>38</x:v>
      </x:c>
      <x:c r="S240" s="14" t="n">
        <x:f>IF(Q240&gt;0,R240/Q240,"")</x:f>
        <x:v>3.1666666666666665</x:v>
      </x:c>
      <x:c r="T240" s="15">
        <x:v>52719</x:v>
      </x:c>
      <x:c r="U240" s="15">
        <x:v>170757</x:v>
      </x:c>
      <x:c r="V240" s="14">
        <x:v>3420960</x:v>
      </x:c>
      <x:c r="W240" s="14" t="n">
        <x:f>IF(AND(Q240&gt;0,S240&gt;0,V240&lt;&gt;""),V240/S240/Q240,"")</x:f>
        <x:v>90025.26315789473</x:v>
      </x:c>
      <x:c r="X240" s="3" t="s">
        <x:v>690</x:v>
      </x:c>
    </x:row>
    <x:row r="241">
      <x:c r="A241" s="12" t="s">
        <x:v>691</x:v>
      </x:c>
      <x:c r="B241" s="3" t="s">
        <x:v>692</x:v>
      </x:c>
      <x:c r="C241" s="4" t="s">
        <x:v>693</x:v>
      </x:c>
      <x:c r="D241" s="5">
        <x:v>306</x:v>
      </x:c>
      <x:c r="E241" s="13">
        <x:v>1</x:v>
      </x:c>
      <x:c r="F241" s="13"/>
      <x:c r="G241" s="13">
        <x:v>1</x:v>
      </x:c>
      <x:c r="H241" s="13">
        <x:v>1</x:v>
      </x:c>
      <x:c r="I241" s="13">
        <x:v>1</x:v>
      </x:c>
      <x:c r="J241" s="13"/>
      <x:c r="K241" s="13"/>
      <x:c r="L241" s="13"/>
      <x:c r="M241" s="13">
        <x:v>1</x:v>
      </x:c>
      <x:c r="N241" s="13">
        <x:v>1</x:v>
      </x:c>
      <x:c r="O241" s="13">
        <x:v>1</x:v>
      </x:c>
      <x:c r="P241" s="13">
        <x:v>1</x:v>
      </x:c>
      <x:c r="Q241" s="13" t="n">
        <x:f t="shared" si="7">COUNT(E241:P241)</x:f>
        <x:v>8</x:v>
      </x:c>
      <x:c r="R241" s="13" t="n">
        <x:f t="shared" si="8">SUM(E241:P241)</x:f>
        <x:v>8</x:v>
      </x:c>
      <x:c r="S241" s="14" t="n">
        <x:f>IF(Q241&gt;0,R241/Q241,"")</x:f>
        <x:v>1</x:v>
      </x:c>
      <x:c r="T241" s="15">
        <x:v>2200</x:v>
      </x:c>
      <x:c r="U241" s="15">
        <x:v>36392</x:v>
      </x:c>
      <x:c r="V241" s="14">
        <x:v>720000</x:v>
      </x:c>
      <x:c r="W241" s="14" t="n">
        <x:f>IF(AND(Q241&gt;0,S241&gt;0,V241&lt;&gt;""),V241/S241/Q241,"")</x:f>
        <x:v>90000</x:v>
      </x:c>
      <x:c r="X241" s="3" t="s">
        <x:v>694</x:v>
      </x:c>
    </x:row>
    <x:row r="242">
      <x:c r="A242" s="12" t="s">
        <x:v>695</x:v>
      </x:c>
      <x:c r="B242" s="3" t="s">
        <x:v>696</x:v>
      </x:c>
      <x:c r="C242" s="4" t="s">
        <x:v>697</x:v>
      </x:c>
      <x:c r="D242" s="5">
        <x:v>306</x:v>
      </x:c>
      <x:c r="E242" s="13">
        <x:v>18</x:v>
      </x:c>
      <x:c r="F242" s="13">
        <x:v>17</x:v>
      </x:c>
      <x:c r="G242" s="13">
        <x:v>14</x:v>
      </x:c>
      <x:c r="H242" s="13">
        <x:v>15</x:v>
      </x:c>
      <x:c r="I242" s="13">
        <x:v>14</x:v>
      </x:c>
      <x:c r="J242" s="13">
        <x:v>14</x:v>
      </x:c>
      <x:c r="K242" s="13">
        <x:v>12</x:v>
      </x:c>
      <x:c r="L242" s="13">
        <x:v>11</x:v>
      </x:c>
      <x:c r="M242" s="13">
        <x:v>10</x:v>
      </x:c>
      <x:c r="N242" s="13">
        <x:v>11</x:v>
      </x:c>
      <x:c r="O242" s="13">
        <x:v>11</x:v>
      </x:c>
      <x:c r="P242" s="13">
        <x:v>8</x:v>
      </x:c>
      <x:c r="Q242" s="13" t="n">
        <x:f t="shared" si="7">COUNT(E242:P242)</x:f>
        <x:v>12</x:v>
      </x:c>
      <x:c r="R242" s="13" t="n">
        <x:f t="shared" si="8">SUM(E242:P242)</x:f>
        <x:v>155</x:v>
      </x:c>
      <x:c r="S242" s="14" t="n">
        <x:f>IF(Q242&gt;0,R242/Q242,"")</x:f>
        <x:v>12.916666666666666</x:v>
      </x:c>
      <x:c r="T242" s="15">
        <x:v>249688</x:v>
      </x:c>
      <x:c r="U242" s="15">
        <x:v>1050406</x:v>
      </x:c>
      <x:c r="V242" s="14">
        <x:v>13942421</x:v>
      </x:c>
      <x:c r="W242" s="14" t="n">
        <x:f>IF(AND(Q242&gt;0,S242&gt;0,V242&lt;&gt;""),V242/S242/Q242,"")</x:f>
        <x:v>89951.10322580645</x:v>
      </x:c>
      <x:c r="X242" s="3" t="s">
        <x:v>698</x:v>
      </x:c>
    </x:row>
    <x:row r="243">
      <x:c r="A243" s="12" t="s">
        <x:v>699</x:v>
      </x:c>
      <x:c r="B243" s="3" t="s">
        <x:v>700</x:v>
      </x:c>
      <x:c r="C243" s="4" t="s">
        <x:v>701</x:v>
      </x:c>
      <x:c r="D243" s="5">
        <x:v>306</x:v>
      </x:c>
      <x:c r="E243" s="13"/>
      <x:c r="F243" s="13"/>
      <x:c r="G243" s="13"/>
      <x:c r="H243" s="13"/>
      <x:c r="I243" s="13">
        <x:v>6</x:v>
      </x:c>
      <x:c r="J243" s="13">
        <x:v>4</x:v>
      </x:c>
      <x:c r="K243" s="13">
        <x:v>4</x:v>
      </x:c>
      <x:c r="L243" s="13">
        <x:v>4</x:v>
      </x:c>
      <x:c r="M243" s="13">
        <x:v>4</x:v>
      </x:c>
      <x:c r="N243" s="13">
        <x:v>5</x:v>
      </x:c>
      <x:c r="O243" s="13">
        <x:v>5</x:v>
      </x:c>
      <x:c r="P243" s="13">
        <x:v>5</x:v>
      </x:c>
      <x:c r="Q243" s="13" t="n">
        <x:f t="shared" si="7">COUNT(E243:P243)</x:f>
        <x:v>8</x:v>
      </x:c>
      <x:c r="R243" s="13" t="n">
        <x:f t="shared" si="8">SUM(E243:P243)</x:f>
        <x:v>37</x:v>
      </x:c>
      <x:c r="S243" s="14" t="n">
        <x:f>IF(Q243&gt;0,R243/Q243,"")</x:f>
        <x:v>4.625</x:v>
      </x:c>
      <x:c r="T243" s="15">
        <x:v>9009</x:v>
      </x:c>
      <x:c r="U243" s="15">
        <x:v>0</x:v>
      </x:c>
      <x:c r="V243" s="14">
        <x:v>3315000</x:v>
      </x:c>
      <x:c r="W243" s="14" t="n">
        <x:f>IF(AND(Q243&gt;0,S243&gt;0,V243&lt;&gt;""),V243/S243/Q243,"")</x:f>
        <x:v>89594.5945945946</x:v>
      </x:c>
      <x:c r="X243" s="3" t="s">
        <x:v>702</x:v>
      </x:c>
    </x:row>
    <x:row r="244">
      <x:c r="A244" s="12" t="s">
        <x:v>51</x:v>
      </x:c>
      <x:c r="B244" s="3" t="s">
        <x:v>52</x:v>
      </x:c>
      <x:c r="C244" s="4" t="s">
        <x:v>703</x:v>
      </x:c>
      <x:c r="D244" s="5">
        <x:v>306</x:v>
      </x:c>
      <x:c r="E244" s="13">
        <x:v>3</x:v>
      </x:c>
      <x:c r="F244" s="13">
        <x:v>3</x:v>
      </x:c>
      <x:c r="G244" s="13">
        <x:v>3</x:v>
      </x:c>
      <x:c r="H244" s="13">
        <x:v>3</x:v>
      </x:c>
      <x:c r="I244" s="13">
        <x:v>3</x:v>
      </x:c>
      <x:c r="J244" s="13">
        <x:v>3</x:v>
      </x:c>
      <x:c r="K244" s="13">
        <x:v>3</x:v>
      </x:c>
      <x:c r="L244" s="13">
        <x:v>3</x:v>
      </x:c>
      <x:c r="M244" s="13">
        <x:v>3</x:v>
      </x:c>
      <x:c r="N244" s="13">
        <x:v>3</x:v>
      </x:c>
      <x:c r="O244" s="13">
        <x:v>3</x:v>
      </x:c>
      <x:c r="P244" s="13">
        <x:v>3</x:v>
      </x:c>
      <x:c r="Q244" s="13" t="n">
        <x:f t="shared" si="7">COUNT(E244:P244)</x:f>
        <x:v>12</x:v>
      </x:c>
      <x:c r="R244" s="13" t="n">
        <x:f t="shared" si="8">SUM(E244:P244)</x:f>
        <x:v>36</x:v>
      </x:c>
      <x:c r="S244" s="14" t="n">
        <x:f>IF(Q244&gt;0,R244/Q244,"")</x:f>
        <x:v>3</x:v>
      </x:c>
      <x:c r="T244" s="15">
        <x:v>53763</x:v>
      </x:c>
      <x:c r="U244" s="15"/>
      <x:c r="V244" s="14">
        <x:v>3201356</x:v>
      </x:c>
      <x:c r="W244" s="14" t="n">
        <x:f>IF(AND(Q244&gt;0,S244&gt;0,V244&lt;&gt;""),V244/S244/Q244,"")</x:f>
        <x:v>88926.55555555556</x:v>
      </x:c>
      <x:c r="X244" s="3" t="s">
        <x:v>704</x:v>
      </x:c>
    </x:row>
    <x:row r="245">
      <x:c r="A245" s="12" t="s">
        <x:v>601</x:v>
      </x:c>
      <x:c r="B245" s="3" t="s">
        <x:v>705</x:v>
      </x:c>
      <x:c r="C245" s="4" t="s">
        <x:v>706</x:v>
      </x:c>
      <x:c r="D245" s="5">
        <x:v>306</x:v>
      </x:c>
      <x:c r="E245" s="13">
        <x:v>5</x:v>
      </x:c>
      <x:c r="F245" s="13">
        <x:v>5</x:v>
      </x:c>
      <x:c r="G245" s="13">
        <x:v>5</x:v>
      </x:c>
      <x:c r="H245" s="13">
        <x:v>5</x:v>
      </x:c>
      <x:c r="I245" s="13">
        <x:v>5</x:v>
      </x:c>
      <x:c r="J245" s="13">
        <x:v>5</x:v>
      </x:c>
      <x:c r="K245" s="13">
        <x:v>5</x:v>
      </x:c>
      <x:c r="L245" s="13">
        <x:v>5</x:v>
      </x:c>
      <x:c r="M245" s="13">
        <x:v>4</x:v>
      </x:c>
      <x:c r="N245" s="13">
        <x:v>4</x:v>
      </x:c>
      <x:c r="O245" s="13">
        <x:v>4</x:v>
      </x:c>
      <x:c r="P245" s="13">
        <x:v>5</x:v>
      </x:c>
      <x:c r="Q245" s="13" t="n">
        <x:f t="shared" si="7">COUNT(E245:P245)</x:f>
        <x:v>12</x:v>
      </x:c>
      <x:c r="R245" s="13" t="n">
        <x:f t="shared" si="8">SUM(E245:P245)</x:f>
        <x:v>57</x:v>
      </x:c>
      <x:c r="S245" s="14" t="n">
        <x:f>IF(Q245&gt;0,R245/Q245,"")</x:f>
        <x:v>4.75</x:v>
      </x:c>
      <x:c r="T245" s="15">
        <x:v>13695</x:v>
      </x:c>
      <x:c r="U245" s="15">
        <x:v>0</x:v>
      </x:c>
      <x:c r="V245" s="14">
        <x:v>4905000</x:v>
      </x:c>
      <x:c r="W245" s="14" t="n">
        <x:f>IF(AND(Q245&gt;0,S245&gt;0,V245&lt;&gt;""),V245/S245/Q245,"")</x:f>
        <x:v>86052.63157894737</x:v>
      </x:c>
      <x:c r="X245" s="3" t="s">
        <x:v>707</x:v>
      </x:c>
    </x:row>
    <x:row r="246">
      <x:c r="A246" s="12" t="s">
        <x:v>708</x:v>
      </x:c>
      <x:c r="B246" s="3" t="s">
        <x:v>709</x:v>
      </x:c>
      <x:c r="C246" s="4" t="s">
        <x:v>710</x:v>
      </x:c>
      <x:c r="D246" s="5">
        <x:v>306</x:v>
      </x:c>
      <x:c r="E246" s="13">
        <x:v>1</x:v>
      </x:c>
      <x:c r="F246" s="13">
        <x:v>1</x:v>
      </x:c>
      <x:c r="G246" s="13">
        <x:v>1</x:v>
      </x:c>
      <x:c r="H246" s="13">
        <x:v>1</x:v>
      </x:c>
      <x:c r="I246" s="13">
        <x:v>1</x:v>
      </x:c>
      <x:c r="J246" s="13">
        <x:v>1</x:v>
      </x:c>
      <x:c r="K246" s="13">
        <x:v>1</x:v>
      </x:c>
      <x:c r="L246" s="13">
        <x:v>1</x:v>
      </x:c>
      <x:c r="M246" s="13">
        <x:v>1</x:v>
      </x:c>
      <x:c r="N246" s="13">
        <x:v>1</x:v>
      </x:c>
      <x:c r="O246" s="13">
        <x:v>1</x:v>
      </x:c>
      <x:c r="P246" s="13">
        <x:v>2</x:v>
      </x:c>
      <x:c r="Q246" s="13" t="n">
        <x:f t="shared" si="7">COUNT(E246:P246)</x:f>
        <x:v>12</x:v>
      </x:c>
      <x:c r="R246" s="13" t="n">
        <x:f t="shared" si="8">SUM(E246:P246)</x:f>
        <x:v>13</x:v>
      </x:c>
      <x:c r="S246" s="14" t="n">
        <x:f>IF(Q246&gt;0,R246/Q246,"")</x:f>
        <x:v>1.0833333333333333</x:v>
      </x:c>
      <x:c r="T246" s="15">
        <x:v>3003</x:v>
      </x:c>
      <x:c r="U246" s="15">
        <x:v>0</x:v>
      </x:c>
      <x:c r="V246" s="14">
        <x:v>1105000</x:v>
      </x:c>
      <x:c r="W246" s="14" t="n">
        <x:f>IF(AND(Q246&gt;0,S246&gt;0,V246&lt;&gt;""),V246/S246/Q246,"")</x:f>
        <x:v>85000.00000000001</x:v>
      </x:c>
      <x:c r="X246" s="3" t="s">
        <x:v>711</x:v>
      </x:c>
    </x:row>
    <x:row r="247">
      <x:c r="A247" s="12" t="s">
        <x:v>220</x:v>
      </x:c>
      <x:c r="B247" s="3" t="s">
        <x:v>221</x:v>
      </x:c>
      <x:c r="C247" s="4" t="s">
        <x:v>712</x:v>
      </x:c>
      <x:c r="D247" s="5">
        <x:v>306</x:v>
      </x:c>
      <x:c r="E247" s="13"/>
      <x:c r="F247" s="13">
        <x:v>2</x:v>
      </x:c>
      <x:c r="G247" s="13">
        <x:v>2</x:v>
      </x:c>
      <x:c r="H247" s="13">
        <x:v>9</x:v>
      </x:c>
      <x:c r="I247" s="13">
        <x:v>9</x:v>
      </x:c>
      <x:c r="J247" s="13">
        <x:v>9</x:v>
      </x:c>
      <x:c r="K247" s="13">
        <x:v>9</x:v>
      </x:c>
      <x:c r="L247" s="13">
        <x:v>9</x:v>
      </x:c>
      <x:c r="M247" s="13">
        <x:v>9</x:v>
      </x:c>
      <x:c r="N247" s="13">
        <x:v>9</x:v>
      </x:c>
      <x:c r="O247" s="13">
        <x:v>9</x:v>
      </x:c>
      <x:c r="P247" s="13">
        <x:v>9</x:v>
      </x:c>
      <x:c r="Q247" s="13" t="n">
        <x:f t="shared" si="7">COUNT(E247:P247)</x:f>
        <x:v>11</x:v>
      </x:c>
      <x:c r="R247" s="13" t="n">
        <x:f t="shared" si="8">SUM(E247:P247)</x:f>
        <x:v>85</x:v>
      </x:c>
      <x:c r="S247" s="14" t="n">
        <x:f>IF(Q247&gt;0,R247/Q247,"")</x:f>
        <x:v>7.7272727272727275</x:v>
      </x:c>
      <x:c r="T247" s="15">
        <x:v>19635</x:v>
      </x:c>
      <x:c r="U247" s="15">
        <x:v>0</x:v>
      </x:c>
      <x:c r="V247" s="14">
        <x:v>7225000</x:v>
      </x:c>
      <x:c r="W247" s="14" t="n">
        <x:f>IF(AND(Q247&gt;0,S247&gt;0,V247&lt;&gt;""),V247/S247/Q247,"")</x:f>
        <x:v>85000</x:v>
      </x:c>
      <x:c r="X247" s="3" t="s">
        <x:v>713</x:v>
      </x:c>
    </x:row>
    <x:row r="248">
      <x:c r="A248" s="12" t="s">
        <x:v>672</x:v>
      </x:c>
      <x:c r="B248" s="3" t="s">
        <x:v>673</x:v>
      </x:c>
      <x:c r="C248" s="4" t="s">
        <x:v>714</x:v>
      </x:c>
      <x:c r="D248" s="5">
        <x:v>306</x:v>
      </x:c>
      <x:c r="E248" s="13"/>
      <x:c r="F248" s="13"/>
      <x:c r="G248" s="13">
        <x:v>2</x:v>
      </x:c>
      <x:c r="H248" s="13">
        <x:v>2</x:v>
      </x:c>
      <x:c r="I248" s="13">
        <x:v>2</x:v>
      </x:c>
      <x:c r="J248" s="13">
        <x:v>2</x:v>
      </x:c>
      <x:c r="K248" s="13">
        <x:v>2</x:v>
      </x:c>
      <x:c r="L248" s="13">
        <x:v>2</x:v>
      </x:c>
      <x:c r="M248" s="13">
        <x:v>2</x:v>
      </x:c>
      <x:c r="N248" s="13">
        <x:v>2</x:v>
      </x:c>
      <x:c r="O248" s="13">
        <x:v>2</x:v>
      </x:c>
      <x:c r="P248" s="13">
        <x:v>2</x:v>
      </x:c>
      <x:c r="Q248" s="13" t="n">
        <x:f t="shared" si="7">COUNT(E248:P248)</x:f>
        <x:v>10</x:v>
      </x:c>
      <x:c r="R248" s="13" t="n">
        <x:f t="shared" si="8">SUM(E248:P248)</x:f>
        <x:v>20</x:v>
      </x:c>
      <x:c r="S248" s="14" t="n">
        <x:f>IF(Q248&gt;0,R248/Q248,"")</x:f>
        <x:v>2</x:v>
      </x:c>
      <x:c r="T248" s="15">
        <x:v>4620</x:v>
      </x:c>
      <x:c r="U248" s="15">
        <x:v>0</x:v>
      </x:c>
      <x:c r="V248" s="14">
        <x:v>1700000</x:v>
      </x:c>
      <x:c r="W248" s="14" t="n">
        <x:f>IF(AND(Q248&gt;0,S248&gt;0,V248&lt;&gt;""),V248/S248/Q248,"")</x:f>
        <x:v>85000</x:v>
      </x:c>
      <x:c r="X248" s="3" t="s">
        <x:v>715</x:v>
      </x:c>
    </x:row>
    <x:row r="249">
      <x:c r="A249" s="12" t="s">
        <x:v>220</x:v>
      </x:c>
      <x:c r="B249" s="3" t="s">
        <x:v>221</x:v>
      </x:c>
      <x:c r="C249" s="4" t="s">
        <x:v>716</x:v>
      </x:c>
      <x:c r="D249" s="5">
        <x:v>306</x:v>
      </x:c>
      <x:c r="E249" s="13"/>
      <x:c r="F249" s="13"/>
      <x:c r="G249" s="13">
        <x:v>3</x:v>
      </x:c>
      <x:c r="H249" s="13">
        <x:v>3</x:v>
      </x:c>
      <x:c r="I249" s="13">
        <x:v>3</x:v>
      </x:c>
      <x:c r="J249" s="13">
        <x:v>3</x:v>
      </x:c>
      <x:c r="K249" s="13">
        <x:v>3</x:v>
      </x:c>
      <x:c r="L249" s="13">
        <x:v>3</x:v>
      </x:c>
      <x:c r="M249" s="13">
        <x:v>3</x:v>
      </x:c>
      <x:c r="N249" s="13">
        <x:v>3</x:v>
      </x:c>
      <x:c r="O249" s="13">
        <x:v>3</x:v>
      </x:c>
      <x:c r="P249" s="13">
        <x:v>3</x:v>
      </x:c>
      <x:c r="Q249" s="13" t="n">
        <x:f t="shared" si="7">COUNT(E249:P249)</x:f>
        <x:v>10</x:v>
      </x:c>
      <x:c r="R249" s="13" t="n">
        <x:f t="shared" si="8">SUM(E249:P249)</x:f>
        <x:v>30</x:v>
      </x:c>
      <x:c r="S249" s="14" t="n">
        <x:f>IF(Q249&gt;0,R249/Q249,"")</x:f>
        <x:v>3</x:v>
      </x:c>
      <x:c r="T249" s="15">
        <x:v>6930</x:v>
      </x:c>
      <x:c r="U249" s="15">
        <x:v>0</x:v>
      </x:c>
      <x:c r="V249" s="14">
        <x:v>2550000</x:v>
      </x:c>
      <x:c r="W249" s="14" t="n">
        <x:f>IF(AND(Q249&gt;0,S249&gt;0,V249&lt;&gt;""),V249/S249/Q249,"")</x:f>
        <x:v>85000</x:v>
      </x:c>
      <x:c r="X249" s="3" t="s">
        <x:v>717</x:v>
      </x:c>
    </x:row>
    <x:row r="250">
      <x:c r="A250" s="12" t="s">
        <x:v>718</x:v>
      </x:c>
      <x:c r="B250" s="3" t="s">
        <x:v>719</x:v>
      </x:c>
      <x:c r="C250" s="4" t="s">
        <x:v>720</x:v>
      </x:c>
      <x:c r="D250" s="5">
        <x:v>306</x:v>
      </x:c>
      <x:c r="E250" s="13">
        <x:v>1</x:v>
      </x:c>
      <x:c r="F250" s="13">
        <x:v>1</x:v>
      </x:c>
      <x:c r="G250" s="13">
        <x:v>1</x:v>
      </x:c>
      <x:c r="H250" s="13">
        <x:v>1</x:v>
      </x:c>
      <x:c r="I250" s="13">
        <x:v>1</x:v>
      </x:c>
      <x:c r="J250" s="13">
        <x:v>1</x:v>
      </x:c>
      <x:c r="K250" s="13">
        <x:v>1</x:v>
      </x:c>
      <x:c r="L250" s="13">
        <x:v>1</x:v>
      </x:c>
      <x:c r="M250" s="13">
        <x:v>1</x:v>
      </x:c>
      <x:c r="N250" s="13">
        <x:v>1</x:v>
      </x:c>
      <x:c r="O250" s="13">
        <x:v>1</x:v>
      </x:c>
      <x:c r="P250" s="13">
        <x:v>1</x:v>
      </x:c>
      <x:c r="Q250" s="13" t="n">
        <x:f t="shared" si="7">COUNT(E250:P250)</x:f>
        <x:v>12</x:v>
      </x:c>
      <x:c r="R250" s="13" t="n">
        <x:f t="shared" si="8">SUM(E250:P250)</x:f>
        <x:v>12</x:v>
      </x:c>
      <x:c r="S250" s="14" t="n">
        <x:f>IF(Q250&gt;0,R250/Q250,"")</x:f>
        <x:v>1</x:v>
      </x:c>
      <x:c r="T250" s="15">
        <x:v>9012</x:v>
      </x:c>
      <x:c r="U250" s="15">
        <x:v>35700</x:v>
      </x:c>
      <x:c r="V250" s="14">
        <x:v>1020000</x:v>
      </x:c>
      <x:c r="W250" s="14" t="n">
        <x:f>IF(AND(Q250&gt;0,S250&gt;0,V250&lt;&gt;""),V250/S250/Q250,"")</x:f>
        <x:v>85000</x:v>
      </x:c>
      <x:c r="X250" s="3" t="s">
        <x:v>721</x:v>
      </x:c>
    </x:row>
    <x:row r="251">
      <x:c r="A251" s="12" t="s">
        <x:v>462</x:v>
      </x:c>
      <x:c r="B251" s="3" t="s">
        <x:v>463</x:v>
      </x:c>
      <x:c r="C251" s="4" t="s">
        <x:v>722</x:v>
      </x:c>
      <x:c r="D251" s="5">
        <x:v>306</x:v>
      </x:c>
      <x:c r="E251" s="13">
        <x:v>1</x:v>
      </x:c>
      <x:c r="F251" s="13">
        <x:v>1</x:v>
      </x:c>
      <x:c r="G251" s="13">
        <x:v>1</x:v>
      </x:c>
      <x:c r="H251" s="13">
        <x:v>1</x:v>
      </x:c>
      <x:c r="I251" s="13">
        <x:v>1</x:v>
      </x:c>
      <x:c r="J251" s="13">
        <x:v>1</x:v>
      </x:c>
      <x:c r="K251" s="13">
        <x:v>1</x:v>
      </x:c>
      <x:c r="L251" s="13">
        <x:v>1</x:v>
      </x:c>
      <x:c r="M251" s="13">
        <x:v>1</x:v>
      </x:c>
      <x:c r="N251" s="13">
        <x:v>1</x:v>
      </x:c>
      <x:c r="O251" s="13">
        <x:v>1</x:v>
      </x:c>
      <x:c r="P251" s="13">
        <x:v>1</x:v>
      </x:c>
      <x:c r="Q251" s="13" t="n">
        <x:f t="shared" si="7">COUNT(E251:P251)</x:f>
        <x:v>12</x:v>
      </x:c>
      <x:c r="R251" s="13" t="n">
        <x:f t="shared" si="8">SUM(E251:P251)</x:f>
        <x:v>12</x:v>
      </x:c>
      <x:c r="S251" s="14" t="n">
        <x:f>IF(Q251&gt;0,R251/Q251,"")</x:f>
        <x:v>1</x:v>
      </x:c>
      <x:c r="T251" s="15">
        <x:v>0</x:v>
      </x:c>
      <x:c r="U251" s="15">
        <x:v>96900</x:v>
      </x:c>
      <x:c r="V251" s="14">
        <x:v>1020000</x:v>
      </x:c>
      <x:c r="W251" s="14" t="n">
        <x:f>IF(AND(Q251&gt;0,S251&gt;0,V251&lt;&gt;""),V251/S251/Q251,"")</x:f>
        <x:v>85000</x:v>
      </x:c>
      <x:c r="X251" s="3" t="s">
        <x:v>723</x:v>
      </x:c>
    </x:row>
    <x:row r="252">
      <x:c r="A252" s="12" t="s">
        <x:v>92</x:v>
      </x:c>
      <x:c r="B252" s="3" t="s">
        <x:v>93</x:v>
      </x:c>
      <x:c r="C252" s="4" t="s">
        <x:v>724</x:v>
      </x:c>
      <x:c r="D252" s="5">
        <x:v>306</x:v>
      </x:c>
      <x:c r="E252" s="13">
        <x:v>6</x:v>
      </x:c>
      <x:c r="F252" s="13">
        <x:v>6</x:v>
      </x:c>
      <x:c r="G252" s="13">
        <x:v>6</x:v>
      </x:c>
      <x:c r="H252" s="13">
        <x:v>6</x:v>
      </x:c>
      <x:c r="I252" s="13">
        <x:v>6</x:v>
      </x:c>
      <x:c r="J252" s="13">
        <x:v>6</x:v>
      </x:c>
      <x:c r="K252" s="13">
        <x:v>6</x:v>
      </x:c>
      <x:c r="L252" s="13">
        <x:v>6</x:v>
      </x:c>
      <x:c r="M252" s="13">
        <x:v>6</x:v>
      </x:c>
      <x:c r="N252" s="13"/>
      <x:c r="O252" s="13"/>
      <x:c r="P252" s="13"/>
      <x:c r="Q252" s="13" t="n">
        <x:f t="shared" si="7">COUNT(E252:P252)</x:f>
        <x:v>9</x:v>
      </x:c>
      <x:c r="R252" s="13" t="n">
        <x:f t="shared" si="8">SUM(E252:P252)</x:f>
        <x:v>54</x:v>
      </x:c>
      <x:c r="S252" s="14" t="n">
        <x:f>IF(Q252&gt;0,R252/Q252,"")</x:f>
        <x:v>6</x:v>
      </x:c>
      <x:c r="T252" s="15">
        <x:v>40392</x:v>
      </x:c>
      <x:c r="U252" s="15">
        <x:v>223074</x:v>
      </x:c>
      <x:c r="V252" s="14">
        <x:v>4590000</x:v>
      </x:c>
      <x:c r="W252" s="14" t="n">
        <x:f>IF(AND(Q252&gt;0,S252&gt;0,V252&lt;&gt;""),V252/S252/Q252,"")</x:f>
        <x:v>85000</x:v>
      </x:c>
      <x:c r="X252" s="3" t="s">
        <x:v>725</x:v>
      </x:c>
    </x:row>
    <x:row r="253">
      <x:c r="A253" s="12" t="s">
        <x:v>518</x:v>
      </x:c>
      <x:c r="B253" s="3" t="s">
        <x:v>519</x:v>
      </x:c>
      <x:c r="C253" s="4" t="s">
        <x:v>726</x:v>
      </x:c>
      <x:c r="D253" s="5">
        <x:v>306</x:v>
      </x:c>
      <x:c r="E253" s="13">
        <x:v>1</x:v>
      </x:c>
      <x:c r="F253" s="13">
        <x:v>1</x:v>
      </x:c>
      <x:c r="G253" s="13"/>
      <x:c r="H253" s="13"/>
      <x:c r="I253" s="13"/>
      <x:c r="J253" s="13"/>
      <x:c r="K253" s="13"/>
      <x:c r="L253" s="13"/>
      <x:c r="M253" s="13"/>
      <x:c r="N253" s="13"/>
      <x:c r="O253" s="13"/>
      <x:c r="P253" s="13"/>
      <x:c r="Q253" s="13" t="n">
        <x:f t="shared" si="7">COUNT(E253:P253)</x:f>
        <x:v>2</x:v>
      </x:c>
      <x:c r="R253" s="13" t="n">
        <x:f t="shared" si="8">SUM(E253:P253)</x:f>
        <x:v>2</x:v>
      </x:c>
      <x:c r="S253" s="14" t="n">
        <x:f>IF(Q253&gt;0,R253/Q253,"")</x:f>
        <x:v>1</x:v>
      </x:c>
      <x:c r="T253" s="15">
        <x:v>462</x:v>
      </x:c>
      <x:c r="U253" s="15">
        <x:v>8262</x:v>
      </x:c>
      <x:c r="V253" s="14">
        <x:v>170000</x:v>
      </x:c>
      <x:c r="W253" s="14" t="n">
        <x:f>IF(AND(Q253&gt;0,S253&gt;0,V253&lt;&gt;""),V253/S253/Q253,"")</x:f>
        <x:v>85000</x:v>
      </x:c>
      <x:c r="X253" s="3" t="s">
        <x:v>727</x:v>
      </x:c>
    </x:row>
    <x:row r="254">
      <x:c r="A254" s="12" t="s">
        <x:v>71</x:v>
      </x:c>
      <x:c r="B254" s="3" t="s">
        <x:v>72</x:v>
      </x:c>
      <x:c r="C254" s="4" t="s">
        <x:v>728</x:v>
      </x:c>
      <x:c r="D254" s="5">
        <x:v>306</x:v>
      </x:c>
      <x:c r="E254" s="13">
        <x:v>1</x:v>
      </x:c>
      <x:c r="F254" s="13">
        <x:v>1</x:v>
      </x:c>
      <x:c r="G254" s="13">
        <x:v>1</x:v>
      </x:c>
      <x:c r="H254" s="13">
        <x:v>1</x:v>
      </x:c>
      <x:c r="I254" s="13">
        <x:v>1</x:v>
      </x:c>
      <x:c r="J254" s="13">
        <x:v>1</x:v>
      </x:c>
      <x:c r="K254" s="13">
        <x:v>1</x:v>
      </x:c>
      <x:c r="L254" s="13">
        <x:v>1</x:v>
      </x:c>
      <x:c r="M254" s="13">
        <x:v>1</x:v>
      </x:c>
      <x:c r="N254" s="13">
        <x:v>1</x:v>
      </x:c>
      <x:c r="O254" s="13">
        <x:v>1</x:v>
      </x:c>
      <x:c r="P254" s="13">
        <x:v>1</x:v>
      </x:c>
      <x:c r="Q254" s="13" t="n">
        <x:f t="shared" si="7">COUNT(E254:P254)</x:f>
        <x:v>12</x:v>
      </x:c>
      <x:c r="R254" s="13" t="n">
        <x:f t="shared" si="8">SUM(E254:P254)</x:f>
        <x:v>12</x:v>
      </x:c>
      <x:c r="S254" s="14" t="n">
        <x:f>IF(Q254&gt;0,R254/Q254,"")</x:f>
        <x:v>1</x:v>
      </x:c>
      <x:c r="T254" s="15">
        <x:v>69568</x:v>
      </x:c>
      <x:c r="U254" s="15">
        <x:v>49572</x:v>
      </x:c>
      <x:c r="V254" s="14">
        <x:v>1020000</x:v>
      </x:c>
      <x:c r="W254" s="14" t="n">
        <x:f>IF(AND(Q254&gt;0,S254&gt;0,V254&lt;&gt;""),V254/S254/Q254,"")</x:f>
        <x:v>85000</x:v>
      </x:c>
      <x:c r="X254" s="3" t="s">
        <x:v>729</x:v>
      </x:c>
    </x:row>
    <x:row r="255">
      <x:c r="A255" s="12" t="s">
        <x:v>462</x:v>
      </x:c>
      <x:c r="B255" s="3" t="s">
        <x:v>463</x:v>
      </x:c>
      <x:c r="C255" s="4" t="s">
        <x:v>730</x:v>
      </x:c>
      <x:c r="D255" s="5">
        <x:v>306</x:v>
      </x:c>
      <x:c r="E255" s="13">
        <x:v>1</x:v>
      </x:c>
      <x:c r="F255" s="13">
        <x:v>1</x:v>
      </x:c>
      <x:c r="G255" s="13">
        <x:v>1</x:v>
      </x:c>
      <x:c r="H255" s="13">
        <x:v>3</x:v>
      </x:c>
      <x:c r="I255" s="13">
        <x:v>3</x:v>
      </x:c>
      <x:c r="J255" s="13">
        <x:v>3</x:v>
      </x:c>
      <x:c r="K255" s="13">
        <x:v>4</x:v>
      </x:c>
      <x:c r="L255" s="13">
        <x:v>4</x:v>
      </x:c>
      <x:c r="M255" s="13">
        <x:v>4</x:v>
      </x:c>
      <x:c r="N255" s="13">
        <x:v>4</x:v>
      </x:c>
      <x:c r="O255" s="13">
        <x:v>4</x:v>
      </x:c>
      <x:c r="P255" s="13">
        <x:v>4</x:v>
      </x:c>
      <x:c r="Q255" s="13" t="n">
        <x:f t="shared" si="7">COUNT(E255:P255)</x:f>
        <x:v>12</x:v>
      </x:c>
      <x:c r="R255" s="13" t="n">
        <x:f t="shared" si="8">SUM(E255:P255)</x:f>
        <x:v>36</x:v>
      </x:c>
      <x:c r="S255" s="14" t="n">
        <x:f>IF(Q255&gt;0,R255/Q255,"")</x:f>
        <x:v>3</x:v>
      </x:c>
      <x:c r="T255" s="15">
        <x:v>8316</x:v>
      </x:c>
      <x:c r="U255" s="15">
        <x:v>148716</x:v>
      </x:c>
      <x:c r="V255" s="14">
        <x:v>3060000</x:v>
      </x:c>
      <x:c r="W255" s="14" t="n">
        <x:f>IF(AND(Q255&gt;0,S255&gt;0,V255&lt;&gt;""),V255/S255/Q255,"")</x:f>
        <x:v>85000</x:v>
      </x:c>
      <x:c r="X255" s="3" t="s">
        <x:v>731</x:v>
      </x:c>
    </x:row>
    <x:row r="256">
      <x:c r="A256" s="12" t="s">
        <x:v>732</x:v>
      </x:c>
      <x:c r="B256" s="3" t="s">
        <x:v>733</x:v>
      </x:c>
      <x:c r="C256" s="4" t="s">
        <x:v>734</x:v>
      </x:c>
      <x:c r="D256" s="5">
        <x:v>306</x:v>
      </x:c>
      <x:c r="E256" s="13"/>
      <x:c r="F256" s="13"/>
      <x:c r="G256" s="13"/>
      <x:c r="H256" s="13"/>
      <x:c r="I256" s="13"/>
      <x:c r="J256" s="13"/>
      <x:c r="K256" s="13"/>
      <x:c r="L256" s="13"/>
      <x:c r="M256" s="13"/>
      <x:c r="N256" s="13">
        <x:v>1</x:v>
      </x:c>
      <x:c r="O256" s="13">
        <x:v>1</x:v>
      </x:c>
      <x:c r="P256" s="13">
        <x:v>1</x:v>
      </x:c>
      <x:c r="Q256" s="13" t="n">
        <x:f t="shared" si="7">COUNT(E256:P256)</x:f>
        <x:v>3</x:v>
      </x:c>
      <x:c r="R256" s="13" t="n">
        <x:f t="shared" si="8">SUM(E256:P256)</x:f>
        <x:v>3</x:v>
      </x:c>
      <x:c r="S256" s="14" t="n">
        <x:f>IF(Q256&gt;0,R256/Q256,"")</x:f>
        <x:v>1</x:v>
      </x:c>
      <x:c r="T256" s="15">
        <x:v>2244</x:v>
      </x:c>
      <x:c r="U256" s="15">
        <x:v>12393</x:v>
      </x:c>
      <x:c r="V256" s="14">
        <x:v>255000</x:v>
      </x:c>
      <x:c r="W256" s="14" t="n">
        <x:f>IF(AND(Q256&gt;0,S256&gt;0,V256&lt;&gt;""),V256/S256/Q256,"")</x:f>
        <x:v>85000</x:v>
      </x:c>
      <x:c r="X256" s="3" t="s">
        <x:v>735</x:v>
      </x:c>
    </x:row>
    <x:row r="257">
      <x:c r="A257" s="12" t="s">
        <x:v>51</x:v>
      </x:c>
      <x:c r="B257" s="3" t="s">
        <x:v>52</x:v>
      </x:c>
      <x:c r="C257" s="4" t="s">
        <x:v>736</x:v>
      </x:c>
      <x:c r="D257" s="5">
        <x:v>306</x:v>
      </x:c>
      <x:c r="E257" s="13">
        <x:v>1</x:v>
      </x:c>
      <x:c r="F257" s="13">
        <x:v>1</x:v>
      </x:c>
      <x:c r="G257" s="13">
        <x:v>1</x:v>
      </x:c>
      <x:c r="H257" s="13">
        <x:v>1</x:v>
      </x:c>
      <x:c r="I257" s="13">
        <x:v>1</x:v>
      </x:c>
      <x:c r="J257" s="13">
        <x:v>1</x:v>
      </x:c>
      <x:c r="K257" s="13">
        <x:v>1</x:v>
      </x:c>
      <x:c r="L257" s="13">
        <x:v>1</x:v>
      </x:c>
      <x:c r="M257" s="13">
        <x:v>1</x:v>
      </x:c>
      <x:c r="N257" s="13">
        <x:v>1</x:v>
      </x:c>
      <x:c r="O257" s="13">
        <x:v>1</x:v>
      </x:c>
      <x:c r="P257" s="13">
        <x:v>1</x:v>
      </x:c>
      <x:c r="Q257" s="13" t="n">
        <x:f t="shared" si="7">COUNT(E257:P257)</x:f>
        <x:v>12</x:v>
      </x:c>
      <x:c r="R257" s="13" t="n">
        <x:f t="shared" si="8">SUM(E257:P257)</x:f>
        <x:v>12</x:v>
      </x:c>
      <x:c r="S257" s="14" t="n">
        <x:f>IF(Q257&gt;0,R257/Q257,"")</x:f>
        <x:v>1</x:v>
      </x:c>
      <x:c r="T257" s="15">
        <x:v>2772</x:v>
      </x:c>
      <x:c r="U257" s="15">
        <x:v>49572</x:v>
      </x:c>
      <x:c r="V257" s="14">
        <x:v>1020000</x:v>
      </x:c>
      <x:c r="W257" s="14" t="n">
        <x:f>IF(AND(Q257&gt;0,S257&gt;0,V257&lt;&gt;""),V257/S257/Q257,"")</x:f>
        <x:v>85000</x:v>
      </x:c>
      <x:c r="X257" s="3" t="s">
        <x:v>737</x:v>
      </x:c>
    </x:row>
    <x:row r="258">
      <x:c r="A258" s="12" t="s">
        <x:v>51</x:v>
      </x:c>
      <x:c r="B258" s="3" t="s">
        <x:v>52</x:v>
      </x:c>
      <x:c r="C258" s="4" t="s">
        <x:v>738</x:v>
      </x:c>
      <x:c r="D258" s="5">
        <x:v>306</x:v>
      </x:c>
      <x:c r="E258" s="13">
        <x:v>1</x:v>
      </x:c>
      <x:c r="F258" s="13">
        <x:v>1</x:v>
      </x:c>
      <x:c r="G258" s="13">
        <x:v>1</x:v>
      </x:c>
      <x:c r="H258" s="13">
        <x:v>1</x:v>
      </x:c>
      <x:c r="I258" s="13">
        <x:v>1</x:v>
      </x:c>
      <x:c r="J258" s="13">
        <x:v>1</x:v>
      </x:c>
      <x:c r="K258" s="13">
        <x:v>1</x:v>
      </x:c>
      <x:c r="L258" s="13">
        <x:v>1</x:v>
      </x:c>
      <x:c r="M258" s="13">
        <x:v>1</x:v>
      </x:c>
      <x:c r="N258" s="13">
        <x:v>1</x:v>
      </x:c>
      <x:c r="O258" s="13">
        <x:v>1</x:v>
      </x:c>
      <x:c r="P258" s="13">
        <x:v>1</x:v>
      </x:c>
      <x:c r="Q258" s="13" t="n">
        <x:f t="shared" si="7">COUNT(E258:P258)</x:f>
        <x:v>12</x:v>
      </x:c>
      <x:c r="R258" s="13" t="n">
        <x:f t="shared" si="8">SUM(E258:P258)</x:f>
        <x:v>12</x:v>
      </x:c>
      <x:c r="S258" s="14" t="n">
        <x:f>IF(Q258&gt;0,R258/Q258,"")</x:f>
        <x:v>1</x:v>
      </x:c>
      <x:c r="T258" s="15">
        <x:v>8976</x:v>
      </x:c>
      <x:c r="U258" s="15">
        <x:v>49572</x:v>
      </x:c>
      <x:c r="V258" s="14">
        <x:v>1020000</x:v>
      </x:c>
      <x:c r="W258" s="14" t="n">
        <x:f>IF(AND(Q258&gt;0,S258&gt;0,V258&lt;&gt;""),V258/S258/Q258,"")</x:f>
        <x:v>85000</x:v>
      </x:c>
      <x:c r="X258" s="3" t="s">
        <x:v>739</x:v>
      </x:c>
    </x:row>
    <x:row r="259">
      <x:c r="A259" s="12" t="s">
        <x:v>51</x:v>
      </x:c>
      <x:c r="B259" s="3" t="s">
        <x:v>52</x:v>
      </x:c>
      <x:c r="C259" s="4" t="s">
        <x:v>740</x:v>
      </x:c>
      <x:c r="D259" s="5">
        <x:v>306</x:v>
      </x:c>
      <x:c r="E259" s="13">
        <x:v>2</x:v>
      </x:c>
      <x:c r="F259" s="13">
        <x:v>2</x:v>
      </x:c>
      <x:c r="G259" s="13">
        <x:v>2</x:v>
      </x:c>
      <x:c r="H259" s="13">
        <x:v>2</x:v>
      </x:c>
      <x:c r="I259" s="13">
        <x:v>2</x:v>
      </x:c>
      <x:c r="J259" s="13">
        <x:v>2</x:v>
      </x:c>
      <x:c r="K259" s="13">
        <x:v>2</x:v>
      </x:c>
      <x:c r="L259" s="13">
        <x:v>2</x:v>
      </x:c>
      <x:c r="M259" s="13">
        <x:v>2</x:v>
      </x:c>
      <x:c r="N259" s="13">
        <x:v>2</x:v>
      </x:c>
      <x:c r="O259" s="13">
        <x:v>2</x:v>
      </x:c>
      <x:c r="P259" s="13">
        <x:v>2</x:v>
      </x:c>
      <x:c r="Q259" s="13" t="n">
        <x:f t="shared" si="7">COUNT(E259:P259)</x:f>
        <x:v>12</x:v>
      </x:c>
      <x:c r="R259" s="13" t="n">
        <x:f t="shared" si="8">SUM(E259:P259)</x:f>
        <x:v>24</x:v>
      </x:c>
      <x:c r="S259" s="14" t="n">
        <x:f>IF(Q259&gt;0,R259/Q259,"")</x:f>
        <x:v>2</x:v>
      </x:c>
      <x:c r="T259" s="15">
        <x:v>5544</x:v>
      </x:c>
      <x:c r="U259" s="15">
        <x:v>99144</x:v>
      </x:c>
      <x:c r="V259" s="14">
        <x:v>2040000</x:v>
      </x:c>
      <x:c r="W259" s="14" t="n">
        <x:f>IF(AND(Q259&gt;0,S259&gt;0,V259&lt;&gt;""),V259/S259/Q259,"")</x:f>
        <x:v>85000</x:v>
      </x:c>
      <x:c r="X259" s="3" t="s">
        <x:v>741</x:v>
      </x:c>
    </x:row>
    <x:row r="260">
      <x:c r="A260" s="12" t="s">
        <x:v>742</x:v>
      </x:c>
      <x:c r="B260" s="3" t="s">
        <x:v>743</x:v>
      </x:c>
      <x:c r="C260" s="4" t="s">
        <x:v>744</x:v>
      </x:c>
      <x:c r="D260" s="5">
        <x:v>306</x:v>
      </x:c>
      <x:c r="E260" s="13">
        <x:v>1</x:v>
      </x:c>
      <x:c r="F260" s="13">
        <x:v>1</x:v>
      </x:c>
      <x:c r="G260" s="13">
        <x:v>1</x:v>
      </x:c>
      <x:c r="H260" s="13"/>
      <x:c r="I260" s="13"/>
      <x:c r="J260" s="13"/>
      <x:c r="K260" s="13"/>
      <x:c r="L260" s="13"/>
      <x:c r="M260" s="13"/>
      <x:c r="N260" s="13"/>
      <x:c r="O260" s="13"/>
      <x:c r="P260" s="13"/>
      <x:c r="Q260" s="13" t="n">
        <x:f t="shared" ref="Q260:Q282" si="9">COUNT(E260:P260)</x:f>
        <x:v>3</x:v>
      </x:c>
      <x:c r="R260" s="13" t="n">
        <x:f t="shared" ref="R260:R282" si="10">SUM(E260:P260)</x:f>
        <x:v>3</x:v>
      </x:c>
      <x:c r="S260" s="14" t="n">
        <x:f>IF(Q260&gt;0,R260/Q260,"")</x:f>
        <x:v>1</x:v>
      </x:c>
      <x:c r="T260" s="15">
        <x:v>693</x:v>
      </x:c>
      <x:c r="U260" s="15">
        <x:v>12393</x:v>
      </x:c>
      <x:c r="V260" s="14">
        <x:v>255000</x:v>
      </x:c>
      <x:c r="W260" s="14" t="n">
        <x:f>IF(AND(Q260&gt;0,S260&gt;0,V260&lt;&gt;""),V260/S260/Q260,"")</x:f>
        <x:v>85000</x:v>
      </x:c>
      <x:c r="X260" s="3" t="s">
        <x:v>745</x:v>
      </x:c>
    </x:row>
    <x:row r="261">
      <x:c r="A261" s="12" t="s">
        <x:v>408</x:v>
      </x:c>
      <x:c r="B261" s="3" t="s">
        <x:v>409</x:v>
      </x:c>
      <x:c r="C261" s="4" t="s">
        <x:v>746</x:v>
      </x:c>
      <x:c r="D261" s="5">
        <x:v>306</x:v>
      </x:c>
      <x:c r="E261" s="13">
        <x:v>3</x:v>
      </x:c>
      <x:c r="F261" s="13">
        <x:v>3</x:v>
      </x:c>
      <x:c r="G261" s="13">
        <x:v>3</x:v>
      </x:c>
      <x:c r="H261" s="13">
        <x:v>3</x:v>
      </x:c>
      <x:c r="I261" s="13">
        <x:v>3</x:v>
      </x:c>
      <x:c r="J261" s="13">
        <x:v>3</x:v>
      </x:c>
      <x:c r="K261" s="13">
        <x:v>3</x:v>
      </x:c>
      <x:c r="L261" s="13">
        <x:v>3</x:v>
      </x:c>
      <x:c r="M261" s="13">
        <x:v>3</x:v>
      </x:c>
      <x:c r="N261" s="13">
        <x:v>4</x:v>
      </x:c>
      <x:c r="O261" s="13">
        <x:v>4</x:v>
      </x:c>
      <x:c r="P261" s="13">
        <x:v>4</x:v>
      </x:c>
      <x:c r="Q261" s="13" t="n">
        <x:f t="shared" si="9">COUNT(E261:P261)</x:f>
        <x:v>12</x:v>
      </x:c>
      <x:c r="R261" s="13" t="n">
        <x:f t="shared" si="10">SUM(E261:P261)</x:f>
        <x:v>39</x:v>
      </x:c>
      <x:c r="S261" s="14" t="n">
        <x:f>IF(Q261&gt;0,R261/Q261,"")</x:f>
        <x:v>3.25</x:v>
      </x:c>
      <x:c r="T261" s="15">
        <x:v>9009</x:v>
      </x:c>
      <x:c r="U261" s="15">
        <x:v>161109</x:v>
      </x:c>
      <x:c r="V261" s="14">
        <x:v>3315000</x:v>
      </x:c>
      <x:c r="W261" s="14" t="n">
        <x:f>IF(AND(Q261&gt;0,S261&gt;0,V261&lt;&gt;""),V261/S261/Q261,"")</x:f>
        <x:v>85000</x:v>
      </x:c>
      <x:c r="X261" s="3" t="s">
        <x:v>747</x:v>
      </x:c>
    </x:row>
    <x:row r="262">
      <x:c r="A262" s="12" t="s">
        <x:v>51</x:v>
      </x:c>
      <x:c r="B262" s="3" t="s">
        <x:v>52</x:v>
      </x:c>
      <x:c r="C262" s="4" t="s">
        <x:v>748</x:v>
      </x:c>
      <x:c r="D262" s="5">
        <x:v>306</x:v>
      </x:c>
      <x:c r="E262" s="13">
        <x:v>1</x:v>
      </x:c>
      <x:c r="F262" s="13">
        <x:v>1</x:v>
      </x:c>
      <x:c r="G262" s="13">
        <x:v>1</x:v>
      </x:c>
      <x:c r="H262" s="13">
        <x:v>1</x:v>
      </x:c>
      <x:c r="I262" s="13">
        <x:v>1</x:v>
      </x:c>
      <x:c r="J262" s="13">
        <x:v>1</x:v>
      </x:c>
      <x:c r="K262" s="13">
        <x:v>1</x:v>
      </x:c>
      <x:c r="L262" s="13">
        <x:v>1</x:v>
      </x:c>
      <x:c r="M262" s="13">
        <x:v>1</x:v>
      </x:c>
      <x:c r="N262" s="13">
        <x:v>1</x:v>
      </x:c>
      <x:c r="O262" s="13">
        <x:v>1</x:v>
      </x:c>
      <x:c r="P262" s="13">
        <x:v>1</x:v>
      </x:c>
      <x:c r="Q262" s="13" t="n">
        <x:f t="shared" si="9">COUNT(E262:P262)</x:f>
        <x:v>12</x:v>
      </x:c>
      <x:c r="R262" s="13" t="n">
        <x:f t="shared" si="10">SUM(E262:P262)</x:f>
        <x:v>12</x:v>
      </x:c>
      <x:c r="S262" s="14" t="n">
        <x:f>IF(Q262&gt;0,R262/Q262,"")</x:f>
        <x:v>1</x:v>
      </x:c>
      <x:c r="T262" s="15">
        <x:v>3996</x:v>
      </x:c>
      <x:c r="U262" s="15">
        <x:v>96900</x:v>
      </x:c>
      <x:c r="V262" s="14">
        <x:v>1020000</x:v>
      </x:c>
      <x:c r="W262" s="14" t="n">
        <x:f>IF(AND(Q262&gt;0,S262&gt;0,V262&lt;&gt;""),V262/S262/Q262,"")</x:f>
        <x:v>85000</x:v>
      </x:c>
      <x:c r="X262" s="3" t="s">
        <x:v>749</x:v>
      </x:c>
    </x:row>
    <x:row r="263">
      <x:c r="A263" s="12" t="s">
        <x:v>51</x:v>
      </x:c>
      <x:c r="B263" s="3" t="s">
        <x:v>52</x:v>
      </x:c>
      <x:c r="C263" s="4" t="s">
        <x:v>750</x:v>
      </x:c>
      <x:c r="D263" s="5">
        <x:v>306</x:v>
      </x:c>
      <x:c r="E263" s="13"/>
      <x:c r="F263" s="13"/>
      <x:c r="G263" s="13"/>
      <x:c r="H263" s="13"/>
      <x:c r="I263" s="13"/>
      <x:c r="J263" s="13">
        <x:v>2</x:v>
      </x:c>
      <x:c r="K263" s="13">
        <x:v>2</x:v>
      </x:c>
      <x:c r="L263" s="13">
        <x:v>2</x:v>
      </x:c>
      <x:c r="M263" s="13">
        <x:v>2</x:v>
      </x:c>
      <x:c r="N263" s="13"/>
      <x:c r="O263" s="13"/>
      <x:c r="P263" s="13"/>
      <x:c r="Q263" s="13" t="n">
        <x:f t="shared" si="9">COUNT(E263:P263)</x:f>
        <x:v>4</x:v>
      </x:c>
      <x:c r="R263" s="13" t="n">
        <x:f t="shared" si="10">SUM(E263:P263)</x:f>
        <x:v>8</x:v>
      </x:c>
      <x:c r="S263" s="14" t="n">
        <x:f>IF(Q263&gt;0,R263/Q263,"")</x:f>
        <x:v>2</x:v>
      </x:c>
      <x:c r="T263" s="15">
        <x:v>1848</x:v>
      </x:c>
      <x:c r="U263" s="15">
        <x:v>8262</x:v>
      </x:c>
      <x:c r="V263" s="14">
        <x:v>680000</x:v>
      </x:c>
      <x:c r="W263" s="14" t="n">
        <x:f>IF(AND(Q263&gt;0,S263&gt;0,V263&lt;&gt;""),V263/S263/Q263,"")</x:f>
        <x:v>85000</x:v>
      </x:c>
      <x:c r="X263" s="3" t="s">
        <x:v>751</x:v>
      </x:c>
    </x:row>
    <x:row r="264">
      <x:c r="A264" s="12" t="s">
        <x:v>601</x:v>
      </x:c>
      <x:c r="B264" s="3" t="s">
        <x:v>602</x:v>
      </x:c>
      <x:c r="C264" s="4" t="s">
        <x:v>752</x:v>
      </x:c>
      <x:c r="D264" s="5">
        <x:v>306</x:v>
      </x:c>
      <x:c r="E264" s="13">
        <x:v>1</x:v>
      </x:c>
      <x:c r="F264" s="13">
        <x:v>1</x:v>
      </x:c>
      <x:c r="G264" s="13">
        <x:v>1</x:v>
      </x:c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 t="n">
        <x:f t="shared" si="9">COUNT(E264:P264)</x:f>
        <x:v>3</x:v>
      </x:c>
      <x:c r="R264" s="13" t="n">
        <x:f t="shared" si="10">SUM(E264:P264)</x:f>
        <x:v>3</x:v>
      </x:c>
      <x:c r="S264" s="14" t="n">
        <x:f>IF(Q264&gt;0,R264/Q264,"")</x:f>
        <x:v>1</x:v>
      </x:c>
      <x:c r="T264" s="15">
        <x:v>693</x:v>
      </x:c>
      <x:c r="U264" s="15">
        <x:v>12393</x:v>
      </x:c>
      <x:c r="V264" s="14">
        <x:v>255000</x:v>
      </x:c>
      <x:c r="W264" s="14" t="n">
        <x:f>IF(AND(Q264&gt;0,S264&gt;0,V264&lt;&gt;""),V264/S264/Q264,"")</x:f>
        <x:v>85000</x:v>
      </x:c>
      <x:c r="X264" s="3" t="s">
        <x:v>753</x:v>
      </x:c>
    </x:row>
    <x:row r="265">
      <x:c r="A265" s="12" t="s">
        <x:v>754</x:v>
      </x:c>
      <x:c r="B265" s="3" t="s">
        <x:v>755</x:v>
      </x:c>
      <x:c r="C265" s="4" t="s">
        <x:v>756</x:v>
      </x:c>
      <x:c r="D265" s="5">
        <x:v>306</x:v>
      </x:c>
      <x:c r="E265" s="13">
        <x:v>1</x:v>
      </x:c>
      <x:c r="F265" s="13">
        <x:v>1</x:v>
      </x:c>
      <x:c r="G265" s="13">
        <x:v>1</x:v>
      </x:c>
      <x:c r="H265" s="13">
        <x:v>1</x:v>
      </x:c>
      <x:c r="I265" s="13">
        <x:v>1</x:v>
      </x:c>
      <x:c r="J265" s="13">
        <x:v>1</x:v>
      </x:c>
      <x:c r="K265" s="13">
        <x:v>1</x:v>
      </x:c>
      <x:c r="L265" s="13">
        <x:v>1</x:v>
      </x:c>
      <x:c r="M265" s="13">
        <x:v>1</x:v>
      </x:c>
      <x:c r="N265" s="13"/>
      <x:c r="O265" s="13"/>
      <x:c r="P265" s="13"/>
      <x:c r="Q265" s="13" t="n">
        <x:f t="shared" si="9">COUNT(E265:P265)</x:f>
        <x:v>9</x:v>
      </x:c>
      <x:c r="R265" s="13" t="n">
        <x:f t="shared" si="10">SUM(E265:P265)</x:f>
        <x:v>9</x:v>
      </x:c>
      <x:c r="S265" s="14" t="n">
        <x:f>IF(Q265&gt;0,R265/Q265,"")</x:f>
        <x:v>1</x:v>
      </x:c>
      <x:c r="T265" s="15">
        <x:v>2079</x:v>
      </x:c>
      <x:c r="U265" s="15">
        <x:v>37179</x:v>
      </x:c>
      <x:c r="V265" s="14">
        <x:v>765000</x:v>
      </x:c>
      <x:c r="W265" s="14" t="n">
        <x:f>IF(AND(Q265&gt;0,S265&gt;0,V265&lt;&gt;""),V265/S265/Q265,"")</x:f>
        <x:v>85000</x:v>
      </x:c>
      <x:c r="X265" s="3" t="s">
        <x:v>757</x:v>
      </x:c>
    </x:row>
    <x:row r="266">
      <x:c r="A266" s="12" t="s">
        <x:v>758</x:v>
      </x:c>
      <x:c r="B266" s="3" t="s">
        <x:v>759</x:v>
      </x:c>
      <x:c r="C266" s="4" t="s">
        <x:v>760</x:v>
      </x:c>
      <x:c r="D266" s="5">
        <x:v>306</x:v>
      </x:c>
      <x:c r="E266" s="13"/>
      <x:c r="F266" s="13"/>
      <x:c r="G266" s="13"/>
      <x:c r="H266" s="13">
        <x:v>7</x:v>
      </x:c>
      <x:c r="I266" s="13">
        <x:v>7</x:v>
      </x:c>
      <x:c r="J266" s="13">
        <x:v>7</x:v>
      </x:c>
      <x:c r="K266" s="13">
        <x:v>7</x:v>
      </x:c>
      <x:c r="L266" s="13">
        <x:v>7</x:v>
      </x:c>
      <x:c r="M266" s="13">
        <x:v>7</x:v>
      </x:c>
      <x:c r="N266" s="13">
        <x:v>7</x:v>
      </x:c>
      <x:c r="O266" s="13">
        <x:v>7</x:v>
      </x:c>
      <x:c r="P266" s="13">
        <x:v>7</x:v>
      </x:c>
      <x:c r="Q266" s="13" t="n">
        <x:f t="shared" si="9">COUNT(E266:P266)</x:f>
        <x:v>9</x:v>
      </x:c>
      <x:c r="R266" s="13" t="n">
        <x:f t="shared" si="10">SUM(E266:P266)</x:f>
        <x:v>63</x:v>
      </x:c>
      <x:c r="S266" s="14" t="n">
        <x:f>IF(Q266&gt;0,R266/Q266,"")</x:f>
        <x:v>7</x:v>
      </x:c>
      <x:c r="T266" s="15">
        <x:v>14553</x:v>
      </x:c>
      <x:c r="U266" s="15">
        <x:v>260253</x:v>
      </x:c>
      <x:c r="V266" s="14">
        <x:v>5355000</x:v>
      </x:c>
      <x:c r="W266" s="14" t="n">
        <x:f>IF(AND(Q266&gt;0,S266&gt;0,V266&lt;&gt;""),V266/S266/Q266,"")</x:f>
        <x:v>85000</x:v>
      </x:c>
      <x:c r="X266" s="3" t="s">
        <x:v>761</x:v>
      </x:c>
    </x:row>
    <x:row r="267">
      <x:c r="A267" s="12" t="s">
        <x:v>220</x:v>
      </x:c>
      <x:c r="B267" s="3" t="s">
        <x:v>221</x:v>
      </x:c>
      <x:c r="C267" s="4" t="s">
        <x:v>762</x:v>
      </x:c>
      <x:c r="D267" s="5">
        <x:v>306</x:v>
      </x:c>
      <x:c r="E267" s="13"/>
      <x:c r="F267" s="13"/>
      <x:c r="G267" s="13"/>
      <x:c r="H267" s="13"/>
      <x:c r="I267" s="13"/>
      <x:c r="J267" s="13"/>
      <x:c r="K267" s="13">
        <x:v>1</x:v>
      </x:c>
      <x:c r="L267" s="13">
        <x:v>1</x:v>
      </x:c>
      <x:c r="M267" s="13">
        <x:v>1</x:v>
      </x:c>
      <x:c r="N267" s="13"/>
      <x:c r="O267" s="13"/>
      <x:c r="P267" s="13"/>
      <x:c r="Q267" s="13" t="n">
        <x:f t="shared" si="9">COUNT(E267:P267)</x:f>
        <x:v>3</x:v>
      </x:c>
      <x:c r="R267" s="13" t="n">
        <x:f t="shared" si="10">SUM(E267:P267)</x:f>
        <x:v>3</x:v>
      </x:c>
      <x:c r="S267" s="14" t="n">
        <x:f>IF(Q267&gt;0,R267/Q267,"")</x:f>
        <x:v>1</x:v>
      </x:c>
      <x:c r="T267" s="15">
        <x:v>693</x:v>
      </x:c>
      <x:c r="U267" s="15">
        <x:v>0</x:v>
      </x:c>
      <x:c r="V267" s="14">
        <x:v>255000</x:v>
      </x:c>
      <x:c r="W267" s="14" t="n">
        <x:f>IF(AND(Q267&gt;0,S267&gt;0,V267&lt;&gt;""),V267/S267/Q267,"")</x:f>
        <x:v>85000</x:v>
      </x:c>
      <x:c r="X267" s="3" t="s">
        <x:v>763</x:v>
      </x:c>
    </x:row>
    <x:row r="268">
      <x:c r="A268" s="12" t="s">
        <x:v>354</x:v>
      </x:c>
      <x:c r="B268" s="3" t="s">
        <x:v>355</x:v>
      </x:c>
      <x:c r="C268" s="4" t="s">
        <x:v>764</x:v>
      </x:c>
      <x:c r="D268" s="5">
        <x:v>306</x:v>
      </x:c>
      <x:c r="E268" s="13"/>
      <x:c r="F268" s="13"/>
      <x:c r="G268" s="13"/>
      <x:c r="H268" s="13">
        <x:v>4</x:v>
      </x:c>
      <x:c r="I268" s="13">
        <x:v>3</x:v>
      </x:c>
      <x:c r="J268" s="13">
        <x:v>3</x:v>
      </x:c>
      <x:c r="K268" s="13">
        <x:v>2</x:v>
      </x:c>
      <x:c r="L268" s="13">
        <x:v>2</x:v>
      </x:c>
      <x:c r="M268" s="13">
        <x:v>4</x:v>
      </x:c>
      <x:c r="N268" s="13">
        <x:v>4</x:v>
      </x:c>
      <x:c r="O268" s="13">
        <x:v>4</x:v>
      </x:c>
      <x:c r="P268" s="13">
        <x:v>4</x:v>
      </x:c>
      <x:c r="Q268" s="13" t="n">
        <x:f t="shared" si="9">COUNT(E268:P268)</x:f>
        <x:v>9</x:v>
      </x:c>
      <x:c r="R268" s="13" t="n">
        <x:f t="shared" si="10">SUM(E268:P268)</x:f>
        <x:v>30</x:v>
      </x:c>
      <x:c r="S268" s="14" t="n">
        <x:f>IF(Q268&gt;0,R268/Q268,"")</x:f>
        <x:v>3.3333333333333335</x:v>
      </x:c>
      <x:c r="T268" s="15">
        <x:v>7848</x:v>
      </x:c>
      <x:c r="U268" s="15">
        <x:v>0</x:v>
      </x:c>
      <x:c r="V268" s="14">
        <x:v>2550000</x:v>
      </x:c>
      <x:c r="W268" s="14" t="n">
        <x:f>IF(AND(Q268&gt;0,S268&gt;0,V268&lt;&gt;""),V268/S268/Q268,"")</x:f>
        <x:v>85000</x:v>
      </x:c>
      <x:c r="X268" s="3" t="s">
        <x:v>765</x:v>
      </x:c>
    </x:row>
    <x:row r="269">
      <x:c r="A269" s="12" t="s">
        <x:v>220</x:v>
      </x:c>
      <x:c r="B269" s="3" t="s">
        <x:v>605</x:v>
      </x:c>
      <x:c r="C269" s="4" t="s">
        <x:v>766</x:v>
      </x:c>
      <x:c r="D269" s="5">
        <x:v>306</x:v>
      </x:c>
      <x:c r="E269" s="13"/>
      <x:c r="F269" s="13"/>
      <x:c r="G269" s="13"/>
      <x:c r="H269" s="13"/>
      <x:c r="I269" s="13"/>
      <x:c r="J269" s="13"/>
      <x:c r="K269" s="13"/>
      <x:c r="L269" s="13">
        <x:v>3</x:v>
      </x:c>
      <x:c r="M269" s="13">
        <x:v>3</x:v>
      </x:c>
      <x:c r="N269" s="13">
        <x:v>3</x:v>
      </x:c>
      <x:c r="O269" s="13">
        <x:v>3</x:v>
      </x:c>
      <x:c r="P269" s="13">
        <x:v>3</x:v>
      </x:c>
      <x:c r="Q269" s="13" t="n">
        <x:f t="shared" si="9">COUNT(E269:P269)</x:f>
        <x:v>5</x:v>
      </x:c>
      <x:c r="R269" s="13" t="n">
        <x:f t="shared" si="10">SUM(E269:P269)</x:f>
        <x:v>15</x:v>
      </x:c>
      <x:c r="S269" s="14" t="n">
        <x:f>IF(Q269&gt;0,R269/Q269,"")</x:f>
        <x:v>3</x:v>
      </x:c>
      <x:c r="T269" s="15">
        <x:v>3465</x:v>
      </x:c>
      <x:c r="U269" s="15">
        <x:v>0</x:v>
      </x:c>
      <x:c r="V269" s="14">
        <x:v>1275000</x:v>
      </x:c>
      <x:c r="W269" s="14" t="n">
        <x:f>IF(AND(Q269&gt;0,S269&gt;0,V269&lt;&gt;""),V269/S269/Q269,"")</x:f>
        <x:v>85000</x:v>
      </x:c>
      <x:c r="X269" s="3" t="s">
        <x:v>767</x:v>
      </x:c>
    </x:row>
    <x:row r="270">
      <x:c r="A270" s="12" t="s">
        <x:v>220</x:v>
      </x:c>
      <x:c r="B270" s="3" t="s">
        <x:v>605</x:v>
      </x:c>
      <x:c r="C270" s="4" t="s">
        <x:v>768</x:v>
      </x:c>
      <x:c r="D270" s="5">
        <x:v>306</x:v>
      </x:c>
      <x:c r="E270" s="13">
        <x:v>4</x:v>
      </x:c>
      <x:c r="F270" s="13">
        <x:v>3</x:v>
      </x:c>
      <x:c r="G270" s="13">
        <x:v>3</x:v>
      </x:c>
      <x:c r="H270" s="13">
        <x:v>3</x:v>
      </x:c>
      <x:c r="I270" s="13">
        <x:v>3</x:v>
      </x:c>
      <x:c r="J270" s="13">
        <x:v>3</x:v>
      </x:c>
      <x:c r="K270" s="13">
        <x:v>3</x:v>
      </x:c>
      <x:c r="L270" s="13">
        <x:v>3</x:v>
      </x:c>
      <x:c r="M270" s="13">
        <x:v>3</x:v>
      </x:c>
      <x:c r="N270" s="13">
        <x:v>4</x:v>
      </x:c>
      <x:c r="O270" s="13">
        <x:v>4</x:v>
      </x:c>
      <x:c r="P270" s="13">
        <x:v>4</x:v>
      </x:c>
      <x:c r="Q270" s="13" t="n">
        <x:f t="shared" si="9">COUNT(E270:P270)</x:f>
        <x:v>12</x:v>
      </x:c>
      <x:c r="R270" s="13" t="n">
        <x:f t="shared" si="10">SUM(E270:P270)</x:f>
        <x:v>40</x:v>
      </x:c>
      <x:c r="S270" s="14" t="n">
        <x:f>IF(Q270&gt;0,R270/Q270,"")</x:f>
        <x:v>3.3333333333333335</x:v>
      </x:c>
      <x:c r="T270" s="15">
        <x:v>9240</x:v>
      </x:c>
      <x:c r="U270" s="15">
        <x:v>0</x:v>
      </x:c>
      <x:c r="V270" s="14">
        <x:v>3400000</x:v>
      </x:c>
      <x:c r="W270" s="14" t="n">
        <x:f>IF(AND(Q270&gt;0,S270&gt;0,V270&lt;&gt;""),V270/S270/Q270,"")</x:f>
        <x:v>85000</x:v>
      </x:c>
      <x:c r="X270" s="3" t="s">
        <x:v>769</x:v>
      </x:c>
    </x:row>
    <x:row r="271">
      <x:c r="A271" s="12" t="s">
        <x:v>220</x:v>
      </x:c>
      <x:c r="B271" s="3" t="s">
        <x:v>221</x:v>
      </x:c>
      <x:c r="C271" s="4" t="s">
        <x:v>770</x:v>
      </x:c>
      <x:c r="D271" s="5">
        <x:v>306</x:v>
      </x:c>
      <x:c r="E271" s="13"/>
      <x:c r="F271" s="13"/>
      <x:c r="G271" s="13"/>
      <x:c r="H271" s="13"/>
      <x:c r="I271" s="13"/>
      <x:c r="J271" s="13"/>
      <x:c r="K271" s="13">
        <x:v>1</x:v>
      </x:c>
      <x:c r="L271" s="13">
        <x:v>1</x:v>
      </x:c>
      <x:c r="M271" s="13">
        <x:v>1</x:v>
      </x:c>
      <x:c r="N271" s="13">
        <x:v>3</x:v>
      </x:c>
      <x:c r="O271" s="13">
        <x:v>3</x:v>
      </x:c>
      <x:c r="P271" s="13">
        <x:v>3</x:v>
      </x:c>
      <x:c r="Q271" s="13" t="n">
        <x:f t="shared" si="9">COUNT(E271:P271)</x:f>
        <x:v>6</x:v>
      </x:c>
      <x:c r="R271" s="13" t="n">
        <x:f t="shared" si="10">SUM(E271:P271)</x:f>
        <x:v>12</x:v>
      </x:c>
      <x:c r="S271" s="14" t="n">
        <x:f>IF(Q271&gt;0,R271/Q271,"")</x:f>
        <x:v>2</x:v>
      </x:c>
      <x:c r="T271" s="15">
        <x:v>2772</x:v>
      </x:c>
      <x:c r="U271" s="15">
        <x:v>0</x:v>
      </x:c>
      <x:c r="V271" s="14">
        <x:v>1020000</x:v>
      </x:c>
      <x:c r="W271" s="14" t="n">
        <x:f>IF(AND(Q271&gt;0,S271&gt;0,V271&lt;&gt;""),V271/S271/Q271,"")</x:f>
        <x:v>85000</x:v>
      </x:c>
      <x:c r="X271" s="3" t="s">
        <x:v>771</x:v>
      </x:c>
    </x:row>
    <x:row r="272">
      <x:c r="A272" s="12" t="s">
        <x:v>601</x:v>
      </x:c>
      <x:c r="B272" s="3" t="s">
        <x:v>602</x:v>
      </x:c>
      <x:c r="C272" s="4" t="s">
        <x:v>772</x:v>
      </x:c>
      <x:c r="D272" s="5">
        <x:v>306</x:v>
      </x:c>
      <x:c r="E272" s="13">
        <x:v>2</x:v>
      </x:c>
      <x:c r="F272" s="13">
        <x:v>2</x:v>
      </x:c>
      <x:c r="G272" s="13">
        <x:v>2</x:v>
      </x:c>
      <x:c r="H272" s="13">
        <x:v>1</x:v>
      </x:c>
      <x:c r="I272" s="13"/>
      <x:c r="J272" s="13"/>
      <x:c r="K272" s="13"/>
      <x:c r="L272" s="13"/>
      <x:c r="M272" s="13"/>
      <x:c r="N272" s="13"/>
      <x:c r="O272" s="13"/>
      <x:c r="P272" s="13"/>
      <x:c r="Q272" s="13" t="n">
        <x:f t="shared" si="9">COUNT(E272:P272)</x:f>
        <x:v>4</x:v>
      </x:c>
      <x:c r="R272" s="13" t="n">
        <x:f t="shared" si="10">SUM(E272:P272)</x:f>
        <x:v>7</x:v>
      </x:c>
      <x:c r="S272" s="14" t="n">
        <x:f>IF(Q272&gt;0,R272/Q272,"")</x:f>
        <x:v>1.75</x:v>
      </x:c>
      <x:c r="T272" s="15">
        <x:v>1617</x:v>
      </x:c>
      <x:c r="U272" s="15">
        <x:v>0</x:v>
      </x:c>
      <x:c r="V272" s="14">
        <x:v>595000</x:v>
      </x:c>
      <x:c r="W272" s="14" t="n">
        <x:f>IF(AND(Q272&gt;0,S272&gt;0,V272&lt;&gt;""),V272/S272/Q272,"")</x:f>
        <x:v>85000</x:v>
      </x:c>
      <x:c r="X272" s="3" t="s">
        <x:v>773</x:v>
      </x:c>
    </x:row>
    <x:row r="273">
      <x:c r="A273" s="12" t="s">
        <x:v>220</x:v>
      </x:c>
      <x:c r="B273" s="3" t="s">
        <x:v>221</x:v>
      </x:c>
      <x:c r="C273" s="4" t="s">
        <x:v>774</x:v>
      </x:c>
      <x:c r="D273" s="5">
        <x:v>306</x:v>
      </x:c>
      <x:c r="E273" s="13">
        <x:v>2</x:v>
      </x:c>
      <x:c r="F273" s="13">
        <x:v>2</x:v>
      </x:c>
      <x:c r="G273" s="13">
        <x:v>2</x:v>
      </x:c>
      <x:c r="H273" s="13">
        <x:v>3</x:v>
      </x:c>
      <x:c r="I273" s="13">
        <x:v>3</x:v>
      </x:c>
      <x:c r="J273" s="13">
        <x:v>3</x:v>
      </x:c>
      <x:c r="K273" s="13">
        <x:v>3</x:v>
      </x:c>
      <x:c r="L273" s="13">
        <x:v>3</x:v>
      </x:c>
      <x:c r="M273" s="13">
        <x:v>3</x:v>
      </x:c>
      <x:c r="N273" s="13">
        <x:v>3</x:v>
      </x:c>
      <x:c r="O273" s="13">
        <x:v>3</x:v>
      </x:c>
      <x:c r="P273" s="13">
        <x:v>3</x:v>
      </x:c>
      <x:c r="Q273" s="13" t="n">
        <x:f t="shared" si="9">COUNT(E273:P273)</x:f>
        <x:v>12</x:v>
      </x:c>
      <x:c r="R273" s="13" t="n">
        <x:f t="shared" si="10">SUM(E273:P273)</x:f>
        <x:v>33</x:v>
      </x:c>
      <x:c r="S273" s="14" t="n">
        <x:f>IF(Q273&gt;0,R273/Q273,"")</x:f>
        <x:v>2.75</x:v>
      </x:c>
      <x:c r="T273" s="15">
        <x:v>10071</x:v>
      </x:c>
      <x:c r="U273" s="15">
        <x:v>0</x:v>
      </x:c>
      <x:c r="V273" s="14">
        <x:v>2805000</x:v>
      </x:c>
      <x:c r="W273" s="14" t="n">
        <x:f>IF(AND(Q273&gt;0,S273&gt;0,V273&lt;&gt;""),V273/S273/Q273,"")</x:f>
        <x:v>85000</x:v>
      </x:c>
      <x:c r="X273" s="3" t="s">
        <x:v>775</x:v>
      </x:c>
    </x:row>
    <x:row r="274">
      <x:c r="A274" s="12" t="s">
        <x:v>220</x:v>
      </x:c>
      <x:c r="B274" s="3" t="s">
        <x:v>676</x:v>
      </x:c>
      <x:c r="C274" s="4" t="s">
        <x:v>776</x:v>
      </x:c>
      <x:c r="D274" s="5">
        <x:v>306</x:v>
      </x:c>
      <x:c r="E274" s="13"/>
      <x:c r="F274" s="13"/>
      <x:c r="G274" s="13"/>
      <x:c r="H274" s="13"/>
      <x:c r="I274" s="13"/>
      <x:c r="J274" s="13">
        <x:v>1</x:v>
      </x:c>
      <x:c r="K274" s="13">
        <x:v>1</x:v>
      </x:c>
      <x:c r="L274" s="13">
        <x:v>1</x:v>
      </x:c>
      <x:c r="M274" s="13">
        <x:v>1</x:v>
      </x:c>
      <x:c r="N274" s="13">
        <x:v>1</x:v>
      </x:c>
      <x:c r="O274" s="13">
        <x:v>1</x:v>
      </x:c>
      <x:c r="P274" s="13">
        <x:v>1</x:v>
      </x:c>
      <x:c r="Q274" s="13" t="n">
        <x:f t="shared" si="9">COUNT(E274:P274)</x:f>
        <x:v>7</x:v>
      </x:c>
      <x:c r="R274" s="13" t="n">
        <x:f t="shared" si="10">SUM(E274:P274)</x:f>
        <x:v>7</x:v>
      </x:c>
      <x:c r="S274" s="14" t="n">
        <x:f>IF(Q274&gt;0,R274/Q274,"")</x:f>
        <x:v>1</x:v>
      </x:c>
      <x:c r="T274" s="15">
        <x:v>2331</x:v>
      </x:c>
      <x:c r="U274" s="15">
        <x:v>0</x:v>
      </x:c>
      <x:c r="V274" s="14">
        <x:v>595000</x:v>
      </x:c>
      <x:c r="W274" s="14" t="n">
        <x:f>IF(AND(Q274&gt;0,S274&gt;0,V274&lt;&gt;""),V274/S274/Q274,"")</x:f>
        <x:v>85000</x:v>
      </x:c>
      <x:c r="X274" s="3" t="s">
        <x:v>777</x:v>
      </x:c>
    </x:row>
    <x:row r="275">
      <x:c r="A275" s="12" t="s">
        <x:v>672</x:v>
      </x:c>
      <x:c r="B275" s="3" t="s">
        <x:v>673</x:v>
      </x:c>
      <x:c r="C275" s="4" t="s">
        <x:v>778</x:v>
      </x:c>
      <x:c r="D275" s="5">
        <x:v>306</x:v>
      </x:c>
      <x:c r="E275" s="13"/>
      <x:c r="F275" s="13"/>
      <x:c r="G275" s="13"/>
      <x:c r="H275" s="13"/>
      <x:c r="I275" s="13"/>
      <x:c r="J275" s="13"/>
      <x:c r="K275" s="13"/>
      <x:c r="L275" s="13"/>
      <x:c r="M275" s="13"/>
      <x:c r="N275" s="13"/>
      <x:c r="O275" s="13">
        <x:v>1</x:v>
      </x:c>
      <x:c r="P275" s="13">
        <x:v>1</x:v>
      </x:c>
      <x:c r="Q275" s="13" t="n">
        <x:f t="shared" si="9">COUNT(E275:P275)</x:f>
        <x:v>2</x:v>
      </x:c>
      <x:c r="R275" s="13" t="n">
        <x:f t="shared" si="10">SUM(E275:P275)</x:f>
        <x:v>2</x:v>
      </x:c>
      <x:c r="S275" s="14" t="n">
        <x:f>IF(Q275&gt;0,R275/Q275,"")</x:f>
        <x:v>1</x:v>
      </x:c>
      <x:c r="T275" s="15">
        <x:v>462</x:v>
      </x:c>
      <x:c r="U275" s="15">
        <x:v>0</x:v>
      </x:c>
      <x:c r="V275" s="14">
        <x:v>170000</x:v>
      </x:c>
      <x:c r="W275" s="14" t="n">
        <x:f>IF(AND(Q275&gt;0,S275&gt;0,V275&lt;&gt;""),V275/S275/Q275,"")</x:f>
        <x:v>85000</x:v>
      </x:c>
      <x:c r="X275" s="3" t="s">
        <x:v>779</x:v>
      </x:c>
    </x:row>
    <x:row r="276">
      <x:c r="A276" s="12" t="s">
        <x:v>408</x:v>
      </x:c>
      <x:c r="B276" s="3" t="s">
        <x:v>409</x:v>
      </x:c>
      <x:c r="C276" s="4" t="s">
        <x:v>780</x:v>
      </x:c>
      <x:c r="D276" s="5">
        <x:v>306</x:v>
      </x:c>
      <x:c r="E276" s="13"/>
      <x:c r="F276" s="13"/>
      <x:c r="G276" s="13"/>
      <x:c r="H276" s="13"/>
      <x:c r="I276" s="13"/>
      <x:c r="J276" s="13"/>
      <x:c r="K276" s="13">
        <x:v>5</x:v>
      </x:c>
      <x:c r="L276" s="13">
        <x:v>5</x:v>
      </x:c>
      <x:c r="M276" s="13">
        <x:v>5</x:v>
      </x:c>
      <x:c r="N276" s="13">
        <x:v>5</x:v>
      </x:c>
      <x:c r="O276" s="13">
        <x:v>5</x:v>
      </x:c>
      <x:c r="P276" s="13">
        <x:v>5</x:v>
      </x:c>
      <x:c r="Q276" s="13" t="n">
        <x:f t="shared" si="9">COUNT(E276:P276)</x:f>
        <x:v>6</x:v>
      </x:c>
      <x:c r="R276" s="13" t="n">
        <x:f t="shared" si="10">SUM(E276:P276)</x:f>
        <x:v>30</x:v>
      </x:c>
      <x:c r="S276" s="14" t="n">
        <x:f>IF(Q276&gt;0,R276/Q276,"")</x:f>
        <x:v>5</x:v>
      </x:c>
      <x:c r="T276" s="15">
        <x:v>7542</x:v>
      </x:c>
      <x:c r="U276" s="15">
        <x:v>0</x:v>
      </x:c>
      <x:c r="V276" s="14">
        <x:v>2550000</x:v>
      </x:c>
      <x:c r="W276" s="14" t="n">
        <x:f>IF(AND(Q276&gt;0,S276&gt;0,V276&lt;&gt;""),V276/S276/Q276,"")</x:f>
        <x:v>85000</x:v>
      </x:c>
      <x:c r="X276" s="3" t="s">
        <x:v>781</x:v>
      </x:c>
    </x:row>
    <x:row r="277">
      <x:c r="A277" s="12" t="s">
        <x:v>408</x:v>
      </x:c>
      <x:c r="B277" s="3" t="s">
        <x:v>409</x:v>
      </x:c>
      <x:c r="C277" s="4" t="s">
        <x:v>782</x:v>
      </x:c>
      <x:c r="D277" s="5">
        <x:v>306</x:v>
      </x:c>
      <x:c r="E277" s="13"/>
      <x:c r="F277" s="13"/>
      <x:c r="G277" s="13"/>
      <x:c r="H277" s="13"/>
      <x:c r="I277" s="13">
        <x:v>1</x:v>
      </x:c>
      <x:c r="J277" s="13">
        <x:v>1</x:v>
      </x:c>
      <x:c r="K277" s="13">
        <x:v>1</x:v>
      </x:c>
      <x:c r="L277" s="13">
        <x:v>1</x:v>
      </x:c>
      <x:c r="M277" s="13">
        <x:v>1</x:v>
      </x:c>
      <x:c r="N277" s="13">
        <x:v>1</x:v>
      </x:c>
      <x:c r="O277" s="13">
        <x:v>1</x:v>
      </x:c>
      <x:c r="P277" s="13">
        <x:v>1</x:v>
      </x:c>
      <x:c r="Q277" s="13" t="n">
        <x:f t="shared" si="9">COUNT(E277:P277)</x:f>
        <x:v>8</x:v>
      </x:c>
      <x:c r="R277" s="13" t="n">
        <x:f t="shared" si="10">SUM(E277:P277)</x:f>
        <x:v>8</x:v>
      </x:c>
      <x:c r="S277" s="14" t="n">
        <x:f>IF(Q277&gt;0,R277/Q277,"")</x:f>
        <x:v>1</x:v>
      </x:c>
      <x:c r="T277" s="15">
        <x:v>1848</x:v>
      </x:c>
      <x:c r="U277" s="15">
        <x:v>0</x:v>
      </x:c>
      <x:c r="V277" s="14">
        <x:v>680000</x:v>
      </x:c>
      <x:c r="W277" s="14" t="n">
        <x:f>IF(AND(Q277&gt;0,S277&gt;0,V277&lt;&gt;""),V277/S277/Q277,"")</x:f>
        <x:v>85000</x:v>
      </x:c>
      <x:c r="X277" s="3" t="s">
        <x:v>783</x:v>
      </x:c>
    </x:row>
    <x:row r="278">
      <x:c r="A278" s="12" t="s">
        <x:v>354</x:v>
      </x:c>
      <x:c r="B278" s="3" t="s">
        <x:v>355</x:v>
      </x:c>
      <x:c r="C278" s="4" t="s">
        <x:v>784</x:v>
      </x:c>
      <x:c r="D278" s="5">
        <x:v>306</x:v>
      </x:c>
      <x:c r="E278" s="13">
        <x:v>16</x:v>
      </x:c>
      <x:c r="F278" s="13">
        <x:v>16</x:v>
      </x:c>
      <x:c r="G278" s="13">
        <x:v>16</x:v>
      </x:c>
      <x:c r="H278" s="13">
        <x:v>15</x:v>
      </x:c>
      <x:c r="I278" s="13">
        <x:v>15</x:v>
      </x:c>
      <x:c r="J278" s="13">
        <x:v>8</x:v>
      </x:c>
      <x:c r="K278" s="13"/>
      <x:c r="L278" s="13"/>
      <x:c r="M278" s="13"/>
      <x:c r="N278" s="13">
        <x:v>19</x:v>
      </x:c>
      <x:c r="O278" s="13">
        <x:v>20</x:v>
      </x:c>
      <x:c r="P278" s="13">
        <x:v>21</x:v>
      </x:c>
      <x:c r="Q278" s="13" t="n">
        <x:f t="shared" si="9">COUNT(E278:P278)</x:f>
        <x:v>9</x:v>
      </x:c>
      <x:c r="R278" s="13" t="n">
        <x:f t="shared" si="10">SUM(E278:P278)</x:f>
        <x:v>146</x:v>
      </x:c>
      <x:c r="S278" s="14" t="n">
        <x:f>IF(Q278&gt;0,R278/Q278,"")</x:f>
        <x:v>16.22222222222222</x:v>
      </x:c>
      <x:c r="T278" s="15">
        <x:v>33726</x:v>
      </x:c>
      <x:c r="U278" s="15">
        <x:v>0</x:v>
      </x:c>
      <x:c r="V278" s="14">
        <x:v>12410000</x:v>
      </x:c>
      <x:c r="W278" s="14" t="n">
        <x:f>IF(AND(Q278&gt;0,S278&gt;0,V278&lt;&gt;""),V278/S278/Q278,"")</x:f>
        <x:v>85000</x:v>
      </x:c>
      <x:c r="X278" s="3" t="s">
        <x:v>785</x:v>
      </x:c>
    </x:row>
    <x:row r="279">
      <x:c r="A279" s="12" t="s">
        <x:v>220</x:v>
      </x:c>
      <x:c r="B279" s="3" t="s">
        <x:v>676</x:v>
      </x:c>
      <x:c r="C279" s="4" t="s">
        <x:v>786</x:v>
      </x:c>
      <x:c r="D279" s="5">
        <x:v>306</x:v>
      </x:c>
      <x:c r="E279" s="13">
        <x:v>1</x:v>
      </x:c>
      <x:c r="F279" s="13">
        <x:v>1</x:v>
      </x:c>
      <x:c r="G279" s="13">
        <x:v>1</x:v>
      </x:c>
      <x:c r="H279" s="13">
        <x:v>1</x:v>
      </x:c>
      <x:c r="I279" s="13">
        <x:v>1</x:v>
      </x:c>
      <x:c r="J279" s="13">
        <x:v>1</x:v>
      </x:c>
      <x:c r="K279" s="13">
        <x:v>1</x:v>
      </x:c>
      <x:c r="L279" s="13">
        <x:v>1</x:v>
      </x:c>
      <x:c r="M279" s="13">
        <x:v>1</x:v>
      </x:c>
      <x:c r="N279" s="13">
        <x:v>1</x:v>
      </x:c>
      <x:c r="O279" s="13">
        <x:v>1</x:v>
      </x:c>
      <x:c r="P279" s="13">
        <x:v>1</x:v>
      </x:c>
      <x:c r="Q279" s="13" t="n">
        <x:f t="shared" si="9">COUNT(E279:P279)</x:f>
        <x:v>12</x:v>
      </x:c>
      <x:c r="R279" s="13" t="n">
        <x:f t="shared" si="10">SUM(E279:P279)</x:f>
        <x:v>12</x:v>
      </x:c>
      <x:c r="S279" s="14" t="n">
        <x:f>IF(Q279&gt;0,R279/Q279,"")</x:f>
        <x:v>1</x:v>
      </x:c>
      <x:c r="T279" s="15">
        <x:v>2772</x:v>
      </x:c>
      <x:c r="U279" s="15">
        <x:v>0</x:v>
      </x:c>
      <x:c r="V279" s="14">
        <x:v>1020000</x:v>
      </x:c>
      <x:c r="W279" s="14" t="n">
        <x:f>IF(AND(Q279&gt;0,S279&gt;0,V279&lt;&gt;""),V279/S279/Q279,"")</x:f>
        <x:v>85000</x:v>
      </x:c>
      <x:c r="X279" s="3" t="s">
        <x:v>787</x:v>
      </x:c>
    </x:row>
    <x:row r="280">
      <x:c r="A280" s="12" t="s">
        <x:v>220</x:v>
      </x:c>
      <x:c r="B280" s="3" t="s">
        <x:v>221</x:v>
      </x:c>
      <x:c r="C280" s="4" t="s">
        <x:v>788</x:v>
      </x:c>
      <x:c r="D280" s="5">
        <x:v>306</x:v>
      </x:c>
      <x:c r="E280" s="13"/>
      <x:c r="F280" s="13"/>
      <x:c r="G280" s="13"/>
      <x:c r="H280" s="13"/>
      <x:c r="I280" s="13"/>
      <x:c r="J280" s="13"/>
      <x:c r="K280" s="13"/>
      <x:c r="L280" s="13"/>
      <x:c r="M280" s="13">
        <x:v>2</x:v>
      </x:c>
      <x:c r="N280" s="13">
        <x:v>2</x:v>
      </x:c>
      <x:c r="O280" s="13">
        <x:v>2</x:v>
      </x:c>
      <x:c r="P280" s="13">
        <x:v>2</x:v>
      </x:c>
      <x:c r="Q280" s="13" t="n">
        <x:f t="shared" si="9">COUNT(E280:P280)</x:f>
        <x:v>4</x:v>
      </x:c>
      <x:c r="R280" s="13" t="n">
        <x:f t="shared" si="10">SUM(E280:P280)</x:f>
        <x:v>8</x:v>
      </x:c>
      <x:c r="S280" s="14" t="n">
        <x:f>IF(Q280&gt;0,R280/Q280,"")</x:f>
        <x:v>2</x:v>
      </x:c>
      <x:c r="T280" s="15">
        <x:v>1848</x:v>
      </x:c>
      <x:c r="U280" s="15">
        <x:v>0</x:v>
      </x:c>
      <x:c r="V280" s="14">
        <x:v>680000</x:v>
      </x:c>
      <x:c r="W280" s="14" t="n">
        <x:f>IF(AND(Q280&gt;0,S280&gt;0,V280&lt;&gt;""),V280/S280/Q280,"")</x:f>
        <x:v>85000</x:v>
      </x:c>
      <x:c r="X280" s="3" t="s">
        <x:v>789</x:v>
      </x:c>
    </x:row>
    <x:row r="281">
      <x:c r="A281" s="12" t="s">
        <x:v>220</x:v>
      </x:c>
      <x:c r="B281" s="3" t="s">
        <x:v>676</x:v>
      </x:c>
      <x:c r="C281" s="4" t="s">
        <x:v>790</x:v>
      </x:c>
      <x:c r="D281" s="5">
        <x:v>306</x:v>
      </x:c>
      <x:c r="E281" s="13"/>
      <x:c r="F281" s="13"/>
      <x:c r="G281" s="13"/>
      <x:c r="H281" s="13"/>
      <x:c r="I281" s="13"/>
      <x:c r="J281" s="13"/>
      <x:c r="K281" s="13"/>
      <x:c r="L281" s="13">
        <x:v>2</x:v>
      </x:c>
      <x:c r="M281" s="13">
        <x:v>2</x:v>
      </x:c>
      <x:c r="N281" s="13">
        <x:v>2</x:v>
      </x:c>
      <x:c r="O281" s="13">
        <x:v>2</x:v>
      </x:c>
      <x:c r="P281" s="13">
        <x:v>2</x:v>
      </x:c>
      <x:c r="Q281" s="13" t="n">
        <x:f t="shared" si="9">COUNT(E281:P281)</x:f>
        <x:v>5</x:v>
      </x:c>
      <x:c r="R281" s="13" t="n">
        <x:f t="shared" si="10">SUM(E281:P281)</x:f>
        <x:v>10</x:v>
      </x:c>
      <x:c r="S281" s="14" t="n">
        <x:f>IF(Q281&gt;0,R281/Q281,"")</x:f>
        <x:v>2</x:v>
      </x:c>
      <x:c r="T281" s="15">
        <x:v>2310</x:v>
      </x:c>
      <x:c r="U281" s="15">
        <x:v>0</x:v>
      </x:c>
      <x:c r="V281" s="14">
        <x:v>850000</x:v>
      </x:c>
      <x:c r="W281" s="14" t="n">
        <x:f>IF(AND(Q281&gt;0,S281&gt;0,V281&lt;&gt;""),V281/S281/Q281,"")</x:f>
        <x:v>85000</x:v>
      </x:c>
      <x:c r="X281" s="3" t="s">
        <x:v>791</x:v>
      </x:c>
    </x:row>
    <x:row r="282">
      <x:c r="A282" s="12" t="s">
        <x:v>120</x:v>
      </x:c>
      <x:c r="B282" s="3" t="s">
        <x:v>121</x:v>
      </x:c>
      <x:c r="C282" s="4" t="s">
        <x:v>792</x:v>
      </x:c>
      <x:c r="D282" s="5">
        <x:v>306</x:v>
      </x:c>
      <x:c r="E282" s="13"/>
      <x:c r="F282" s="13"/>
      <x:c r="G282" s="13"/>
      <x:c r="H282" s="13"/>
      <x:c r="I282" s="13"/>
      <x:c r="J282" s="13"/>
      <x:c r="K282" s="13">
        <x:v>1</x:v>
      </x:c>
      <x:c r="L282" s="13">
        <x:v>1</x:v>
      </x:c>
      <x:c r="M282" s="13">
        <x:v>1</x:v>
      </x:c>
      <x:c r="N282" s="13">
        <x:v>1</x:v>
      </x:c>
      <x:c r="O282" s="13">
        <x:v>1</x:v>
      </x:c>
      <x:c r="P282" s="13">
        <x:v>1</x:v>
      </x:c>
      <x:c r="Q282" s="13" t="n">
        <x:f t="shared" si="9">COUNT(E282:P282)</x:f>
        <x:v>6</x:v>
      </x:c>
      <x:c r="R282" s="13" t="n">
        <x:f t="shared" si="10">SUM(E282:P282)</x:f>
        <x:v>6</x:v>
      </x:c>
      <x:c r="S282" s="14" t="n">
        <x:f>IF(Q282&gt;0,R282/Q282,"")</x:f>
        <x:v>1</x:v>
      </x:c>
      <x:c r="T282" s="15">
        <x:v>1386</x:v>
      </x:c>
      <x:c r="U282" s="15">
        <x:v>0</x:v>
      </x:c>
      <x:c r="V282" s="14">
        <x:v>510000</x:v>
      </x:c>
      <x:c r="W282" s="14" t="n">
        <x:f>IF(AND(Q282&gt;0,S282&gt;0,V282&lt;&gt;""),V282/S282/Q282,"")</x:f>
        <x:v>85000</x:v>
      </x:c>
      <x:c r="X282" s="3" t="s">
        <x:v>793</x:v>
      </x:c>
    </x:row>
    <x:row r="283">
      <x:c r="A283" s="12" t="s">
        <x:v>794</x:v>
      </x:c>
      <x:c r="B283" s="3" t="s">
        <x:v>795</x:v>
      </x:c>
      <x:c r="C283" s="4" t="s">
        <x:v>796</x:v>
      </x:c>
      <x:c r="D283" s="5">
        <x:v>306</x:v>
      </x:c>
      <x:c r="E283" s="13">
        <x:v>2</x:v>
      </x:c>
      <x:c r="F283" s="13">
        <x:v>2</x:v>
      </x:c>
      <x:c r="G283" s="13">
        <x:v>2</x:v>
      </x:c>
      <x:c r="H283" s="13">
        <x:v>1</x:v>
      </x:c>
      <x:c r="I283" s="13">
        <x:v>1</x:v>
      </x:c>
      <x:c r="J283" s="13">
        <x:v>1</x:v>
      </x:c>
      <x:c r="K283" s="13">
        <x:v>1</x:v>
      </x:c>
      <x:c r="L283" s="13">
        <x:v>1</x:v>
      </x:c>
      <x:c r="M283" s="13">
        <x:v>1</x:v>
      </x:c>
      <x:c r="N283" s="13">
        <x:v>1</x:v>
      </x:c>
      <x:c r="O283" s="13">
        <x:v>1</x:v>
      </x:c>
      <x:c r="P283" s="13">
        <x:v>1</x:v>
      </x:c>
      <x:c r="Q283" s="13" t="n">
        <x:f>COUNT(E283:P283)</x:f>
        <x:v>12</x:v>
      </x:c>
      <x:c r="R283" s="13" t="n">
        <x:f>SUM(E283:P283)</x:f>
        <x:v>15</x:v>
      </x:c>
      <x:c r="S283" s="14" t="n">
        <x:f>IF(Q283&gt;0,R283/Q283,"")</x:f>
        <x:v>1.25</x:v>
      </x:c>
      <x:c r="T283" s="15">
        <x:v>3465</x:v>
      </x:c>
      <x:c r="U283" s="15">
        <x:v>61965</x:v>
      </x:c>
      <x:c r="V283" s="14">
        <x:v>1275000</x:v>
      </x:c>
      <x:c r="W283" s="14" t="n">
        <x:f>IF(AND(Q283&gt;0,S283&gt;0,V283&lt;&gt;""),V283/S283/Q283,"")</x:f>
        <x:v>85000</x:v>
      </x:c>
      <x:c r="X283" s="3" t="s">
        <x:v>797</x:v>
      </x:c>
    </x:row>
    <x:row r="284">
      <x:c r="A284" s="12" t="s">
        <x:v>708</x:v>
      </x:c>
      <x:c r="B284" s="3" t="s">
        <x:v>798</x:v>
      </x:c>
      <x:c r="C284" s="4" t="s">
        <x:v>799</x:v>
      </x:c>
      <x:c r="D284" s="5">
        <x:v>306</x:v>
      </x:c>
      <x:c r="E284" s="13">
        <x:v>4</x:v>
      </x:c>
      <x:c r="F284" s="13">
        <x:v>4</x:v>
      </x:c>
      <x:c r="G284" s="13">
        <x:v>4</x:v>
      </x:c>
      <x:c r="H284" s="13">
        <x:v>4</x:v>
      </x:c>
      <x:c r="I284" s="13">
        <x:v>4</x:v>
      </x:c>
      <x:c r="J284" s="13">
        <x:v>4</x:v>
      </x:c>
      <x:c r="K284" s="13">
        <x:v>4</x:v>
      </x:c>
      <x:c r="L284" s="13">
        <x:v>4</x:v>
      </x:c>
      <x:c r="M284" s="13">
        <x:v>4</x:v>
      </x:c>
      <x:c r="N284" s="13">
        <x:v>4</x:v>
      </x:c>
      <x:c r="O284" s="13">
        <x:v>5</x:v>
      </x:c>
      <x:c r="P284" s="13">
        <x:v>5</x:v>
      </x:c>
      <x:c r="Q284" s="13" t="n">
        <x:f t="shared" ref="Q284:Q303" si="11">COUNT(E284:P284)</x:f>
        <x:v>12</x:v>
      </x:c>
      <x:c r="R284" s="13" t="n">
        <x:f t="shared" ref="R284:R303" si="12">SUM(E284:P284)</x:f>
        <x:v>50</x:v>
      </x:c>
      <x:c r="S284" s="14" t="n">
        <x:f>IF(Q284&gt;0,R284/Q284,"")</x:f>
        <x:v>4.166666666666667</x:v>
      </x:c>
      <x:c r="T284" s="15">
        <x:v>11550</x:v>
      </x:c>
      <x:c r="U284" s="15">
        <x:v>0</x:v>
      </x:c>
      <x:c r="V284" s="14">
        <x:v>4250000</x:v>
      </x:c>
      <x:c r="W284" s="14" t="n">
        <x:f>IF(AND(Q284&gt;0,S284&gt;0,V284&lt;&gt;""),V284/S284/Q284,"")</x:f>
        <x:v>84999.99999999999</x:v>
      </x:c>
      <x:c r="X284" s="3" t="s">
        <x:v>800</x:v>
      </x:c>
    </x:row>
    <x:row r="285">
      <x:c r="A285" s="12" t="s">
        <x:v>332</x:v>
      </x:c>
      <x:c r="B285" s="3" t="s">
        <x:v>801</x:v>
      </x:c>
      <x:c r="C285" s="4" t="s">
        <x:v>802</x:v>
      </x:c>
      <x:c r="D285" s="5">
        <x:v>306</x:v>
      </x:c>
      <x:c r="E285" s="13">
        <x:v>1</x:v>
      </x:c>
      <x:c r="F285" s="13">
        <x:v>1</x:v>
      </x:c>
      <x:c r="G285" s="13">
        <x:v>2</x:v>
      </x:c>
      <x:c r="H285" s="13">
        <x:v>2</x:v>
      </x:c>
      <x:c r="I285" s="13">
        <x:v>2</x:v>
      </x:c>
      <x:c r="J285" s="13">
        <x:v>2</x:v>
      </x:c>
      <x:c r="K285" s="13">
        <x:v>2</x:v>
      </x:c>
      <x:c r="L285" s="13">
        <x:v>2</x:v>
      </x:c>
      <x:c r="M285" s="13">
        <x:v>2</x:v>
      </x:c>
      <x:c r="N285" s="13">
        <x:v>2</x:v>
      </x:c>
      <x:c r="O285" s="13">
        <x:v>2</x:v>
      </x:c>
      <x:c r="P285" s="13">
        <x:v>3</x:v>
      </x:c>
      <x:c r="Q285" s="13" t="n">
        <x:f t="shared" si="11">COUNT(E285:P285)</x:f>
        <x:v>12</x:v>
      </x:c>
      <x:c r="R285" s="13" t="n">
        <x:f t="shared" si="12">SUM(E285:P285)</x:f>
        <x:v>23</x:v>
      </x:c>
      <x:c r="S285" s="14" t="n">
        <x:f>IF(Q285&gt;0,R285/Q285,"")</x:f>
        <x:v>1.9166666666666667</x:v>
      </x:c>
      <x:c r="T285" s="15">
        <x:v>5109</x:v>
      </x:c>
      <x:c r="U285" s="15">
        <x:v>0</x:v>
      </x:c>
      <x:c r="V285" s="14">
        <x:v>1931818</x:v>
      </x:c>
      <x:c r="W285" s="14" t="n">
        <x:f>IF(AND(Q285&gt;0,S285&gt;0,V285&lt;&gt;""),V285/S285/Q285,"")</x:f>
        <x:v>83992.08695652174</x:v>
      </x:c>
      <x:c r="X285" s="3" t="s">
        <x:v>803</x:v>
      </x:c>
    </x:row>
    <x:row r="286">
      <x:c r="A286" s="12" t="s">
        <x:v>344</x:v>
      </x:c>
      <x:c r="B286" s="3" t="s">
        <x:v>345</x:v>
      </x:c>
      <x:c r="C286" s="4" t="s">
        <x:v>804</x:v>
      </x:c>
      <x:c r="D286" s="5">
        <x:v>306</x:v>
      </x:c>
      <x:c r="E286" s="13">
        <x:v>1</x:v>
      </x:c>
      <x:c r="F286" s="13">
        <x:v>1</x:v>
      </x:c>
      <x:c r="G286" s="13">
        <x:v>1</x:v>
      </x:c>
      <x:c r="H286" s="13">
        <x:v>1</x:v>
      </x:c>
      <x:c r="I286" s="13">
        <x:v>1</x:v>
      </x:c>
      <x:c r="J286" s="13">
        <x:v>1</x:v>
      </x:c>
      <x:c r="K286" s="13">
        <x:v>1</x:v>
      </x:c>
      <x:c r="L286" s="13">
        <x:v>1</x:v>
      </x:c>
      <x:c r="M286" s="13">
        <x:v>1</x:v>
      </x:c>
      <x:c r="N286" s="13">
        <x:v>1</x:v>
      </x:c>
      <x:c r="O286" s="13">
        <x:v>1</x:v>
      </x:c>
      <x:c r="P286" s="13">
        <x:v>1</x:v>
      </x:c>
      <x:c r="Q286" s="13" t="n">
        <x:f t="shared" si="11">COUNT(E286:P286)</x:f>
        <x:v>12</x:v>
      </x:c>
      <x:c r="R286" s="13" t="n">
        <x:f t="shared" si="12">SUM(E286:P286)</x:f>
        <x:v>12</x:v>
      </x:c>
      <x:c r="S286" s="14" t="n">
        <x:f>IF(Q286&gt;0,R286/Q286,"")</x:f>
        <x:v>1</x:v>
      </x:c>
      <x:c r="T286" s="15">
        <x:v>8770</x:v>
      </x:c>
      <x:c r="U286" s="15">
        <x:v>55131</x:v>
      </x:c>
      <x:c r="V286" s="14">
        <x:v>996600</x:v>
      </x:c>
      <x:c r="W286" s="14" t="n">
        <x:f>IF(AND(Q286&gt;0,S286&gt;0,V286&lt;&gt;""),V286/S286/Q286,"")</x:f>
        <x:v>83050</x:v>
      </x:c>
      <x:c r="X286" s="3" t="s">
        <x:v>805</x:v>
      </x:c>
    </x:row>
    <x:row r="287">
      <x:c r="A287" s="12" t="s">
        <x:v>220</x:v>
      </x:c>
      <x:c r="B287" s="3" t="s">
        <x:v>221</x:v>
      </x:c>
      <x:c r="C287" s="4" t="s">
        <x:v>806</x:v>
      </x:c>
      <x:c r="D287" s="5">
        <x:v>306</x:v>
      </x:c>
      <x:c r="E287" s="13">
        <x:v>7</x:v>
      </x:c>
      <x:c r="F287" s="13">
        <x:v>7</x:v>
      </x:c>
      <x:c r="G287" s="13">
        <x:v>7</x:v>
      </x:c>
      <x:c r="H287" s="13">
        <x:v>7</x:v>
      </x:c>
      <x:c r="I287" s="13">
        <x:v>7</x:v>
      </x:c>
      <x:c r="J287" s="13">
        <x:v>7</x:v>
      </x:c>
      <x:c r="K287" s="13">
        <x:v>7</x:v>
      </x:c>
      <x:c r="L287" s="13">
        <x:v>7</x:v>
      </x:c>
      <x:c r="M287" s="13">
        <x:v>7</x:v>
      </x:c>
      <x:c r="N287" s="13">
        <x:v>7</x:v>
      </x:c>
      <x:c r="O287" s="13">
        <x:v>7</x:v>
      </x:c>
      <x:c r="P287" s="13">
        <x:v>7</x:v>
      </x:c>
      <x:c r="Q287" s="13" t="n">
        <x:f t="shared" si="11">COUNT(E287:P287)</x:f>
        <x:v>12</x:v>
      </x:c>
      <x:c r="R287" s="13" t="n">
        <x:f t="shared" si="12">SUM(E287:P287)</x:f>
        <x:v>84</x:v>
      </x:c>
      <x:c r="S287" s="14" t="n">
        <x:f>IF(Q287&gt;0,R287/Q287,"")</x:f>
        <x:v>7</x:v>
      </x:c>
      <x:c r="T287" s="15">
        <x:v>121992</x:v>
      </x:c>
      <x:c r="U287" s="15">
        <x:v>0</x:v>
      </x:c>
      <x:c r="V287" s="14">
        <x:v>6750000</x:v>
      </x:c>
      <x:c r="W287" s="14" t="n">
        <x:f>IF(AND(Q287&gt;0,S287&gt;0,V287&lt;&gt;""),V287/S287/Q287,"")</x:f>
        <x:v>80357.14285714286</x:v>
      </x:c>
      <x:c r="X287" s="3" t="s">
        <x:v>807</x:v>
      </x:c>
    </x:row>
    <x:row r="288">
      <x:c r="A288" s="12" t="s">
        <x:v>808</x:v>
      </x:c>
      <x:c r="B288" s="3" t="s">
        <x:v>809</x:v>
      </x:c>
      <x:c r="C288" s="4" t="s">
        <x:v>810</x:v>
      </x:c>
      <x:c r="D288" s="5">
        <x:v>306</x:v>
      </x:c>
      <x:c r="E288" s="13">
        <x:v>3</x:v>
      </x:c>
      <x:c r="F288" s="13">
        <x:v>3</x:v>
      </x:c>
      <x:c r="G288" s="13">
        <x:v>3</x:v>
      </x:c>
      <x:c r="H288" s="13">
        <x:v>4</x:v>
      </x:c>
      <x:c r="I288" s="13">
        <x:v>4</x:v>
      </x:c>
      <x:c r="J288" s="13">
        <x:v>3</x:v>
      </x:c>
      <x:c r="K288" s="13">
        <x:v>2</x:v>
      </x:c>
      <x:c r="L288" s="13">
        <x:v>2</x:v>
      </x:c>
      <x:c r="M288" s="13">
        <x:v>2</x:v>
      </x:c>
      <x:c r="N288" s="13">
        <x:v>2</x:v>
      </x:c>
      <x:c r="O288" s="13">
        <x:v>2</x:v>
      </x:c>
      <x:c r="P288" s="13">
        <x:v>2</x:v>
      </x:c>
      <x:c r="Q288" s="13" t="n">
        <x:f t="shared" si="11">COUNT(E288:P288)</x:f>
        <x:v>12</x:v>
      </x:c>
      <x:c r="R288" s="13" t="n">
        <x:f t="shared" si="12">SUM(E288:P288)</x:f>
        <x:v>32</x:v>
      </x:c>
      <x:c r="S288" s="14" t="n">
        <x:f>IF(Q288&gt;0,R288/Q288,"")</x:f>
        <x:v>2.6666666666666665</x:v>
      </x:c>
      <x:c r="T288" s="15">
        <x:v>8154</x:v>
      </x:c>
      <x:c r="U288" s="15">
        <x:v>171258</x:v>
      </x:c>
      <x:c r="V288" s="14">
        <x:v>2550000</x:v>
      </x:c>
      <x:c r="W288" s="14" t="n">
        <x:f>IF(AND(Q288&gt;0,S288&gt;0,V288&lt;&gt;""),V288/S288/Q288,"")</x:f>
        <x:v>79687.5</x:v>
      </x:c>
      <x:c r="X288" s="3" t="s">
        <x:v>811</x:v>
      </x:c>
    </x:row>
    <x:row r="289">
      <x:c r="A289" s="12" t="s">
        <x:v>445</x:v>
      </x:c>
      <x:c r="B289" s="3" t="s">
        <x:v>446</x:v>
      </x:c>
      <x:c r="C289" s="4" t="s">
        <x:v>812</x:v>
      </x:c>
      <x:c r="D289" s="5">
        <x:v>306</x:v>
      </x:c>
      <x:c r="E289" s="13">
        <x:v>256</x:v>
      </x:c>
      <x:c r="F289" s="13">
        <x:v>251</x:v>
      </x:c>
      <x:c r="G289" s="13">
        <x:v>267</x:v>
      </x:c>
      <x:c r="H289" s="13">
        <x:v>263</x:v>
      </x:c>
      <x:c r="I289" s="13">
        <x:v>265</x:v>
      </x:c>
      <x:c r="J289" s="13">
        <x:v>312</x:v>
      </x:c>
      <x:c r="K289" s="13">
        <x:v>312</x:v>
      </x:c>
      <x:c r="L289" s="13">
        <x:v>307</x:v>
      </x:c>
      <x:c r="M289" s="13">
        <x:v>299</x:v>
      </x:c>
      <x:c r="N289" s="13"/>
      <x:c r="O289" s="13"/>
      <x:c r="P289" s="13"/>
      <x:c r="Q289" s="13" t="n">
        <x:f t="shared" si="11">COUNT(E289:P289)</x:f>
        <x:v>9</x:v>
      </x:c>
      <x:c r="R289" s="13" t="n">
        <x:f t="shared" si="12">SUM(E289:P289)</x:f>
        <x:v>2532</x:v>
      </x:c>
      <x:c r="S289" s="14" t="n">
        <x:f>IF(Q289&gt;0,R289/Q289,"")</x:f>
        <x:v>281.3333333333333</x:v>
      </x:c>
      <x:c r="T289" s="15">
        <x:v>5426639</x:v>
      </x:c>
      <x:c r="U289" s="15">
        <x:v>11644697</x:v>
      </x:c>
      <x:c r="V289" s="14">
        <x:v>201602122</x:v>
      </x:c>
      <x:c r="W289" s="14" t="n">
        <x:f>IF(AND(Q289&gt;0,S289&gt;0,V289&lt;&gt;""),V289/S289/Q289,"")</x:f>
        <x:v>79621.69115323856</x:v>
      </x:c>
      <x:c r="X289" s="3" t="s">
        <x:v>813</x:v>
      </x:c>
    </x:row>
    <x:row r="290">
      <x:c r="A290" s="12" t="s">
        <x:v>354</x:v>
      </x:c>
      <x:c r="B290" s="3" t="s">
        <x:v>355</x:v>
      </x:c>
      <x:c r="C290" s="4" t="s">
        <x:v>814</x:v>
      </x:c>
      <x:c r="D290" s="5">
        <x:v>306</x:v>
      </x:c>
      <x:c r="E290" s="13"/>
      <x:c r="F290" s="13"/>
      <x:c r="G290" s="13"/>
      <x:c r="H290" s="13"/>
      <x:c r="I290" s="13"/>
      <x:c r="J290" s="13"/>
      <x:c r="K290" s="13"/>
      <x:c r="L290" s="13"/>
      <x:c r="M290" s="13"/>
      <x:c r="N290" s="13">
        <x:v>11</x:v>
      </x:c>
      <x:c r="O290" s="13">
        <x:v>11</x:v>
      </x:c>
      <x:c r="P290" s="13">
        <x:v>11</x:v>
      </x:c>
      <x:c r="Q290" s="13" t="n">
        <x:f t="shared" si="11">COUNT(E290:P290)</x:f>
        <x:v>3</x:v>
      </x:c>
      <x:c r="R290" s="13" t="n">
        <x:f t="shared" si="12">SUM(E290:P290)</x:f>
        <x:v>33</x:v>
      </x:c>
      <x:c r="S290" s="14" t="n">
        <x:f>IF(Q290&gt;0,R290/Q290,"")</x:f>
        <x:v>11</x:v>
      </x:c>
      <x:c r="T290" s="15">
        <x:v>54918</x:v>
      </x:c>
      <x:c r="U290" s="15">
        <x:v>0</x:v>
      </x:c>
      <x:c r="V290" s="14">
        <x:v>2624000</x:v>
      </x:c>
      <x:c r="W290" s="14" t="n">
        <x:f>IF(AND(Q290&gt;0,S290&gt;0,V290&lt;&gt;""),V290/S290/Q290,"")</x:f>
        <x:v>79515.15151515152</x:v>
      </x:c>
      <x:c r="X290" s="3" t="s">
        <x:v>815</x:v>
      </x:c>
    </x:row>
    <x:row r="291">
      <x:c r="A291" s="12" t="s">
        <x:v>51</x:v>
      </x:c>
      <x:c r="B291" s="3" t="s">
        <x:v>52</x:v>
      </x:c>
      <x:c r="C291" s="4" t="s">
        <x:v>816</x:v>
      </x:c>
      <x:c r="D291" s="5">
        <x:v>306</x:v>
      </x:c>
      <x:c r="E291" s="13">
        <x:v>2</x:v>
      </x:c>
      <x:c r="F291" s="13">
        <x:v>2</x:v>
      </x:c>
      <x:c r="G291" s="13">
        <x:v>2</x:v>
      </x:c>
      <x:c r="H291" s="13">
        <x:v>4</x:v>
      </x:c>
      <x:c r="I291" s="13">
        <x:v>23</x:v>
      </x:c>
      <x:c r="J291" s="13">
        <x:v>17</x:v>
      </x:c>
      <x:c r="K291" s="13">
        <x:v>1</x:v>
      </x:c>
      <x:c r="L291" s="13">
        <x:v>2</x:v>
      </x:c>
      <x:c r="M291" s="13">
        <x:v>2</x:v>
      </x:c>
      <x:c r="N291" s="13">
        <x:v>2</x:v>
      </x:c>
      <x:c r="O291" s="13">
        <x:v>1</x:v>
      </x:c>
      <x:c r="P291" s="13">
        <x:v>1</x:v>
      </x:c>
      <x:c r="Q291" s="13" t="n">
        <x:f t="shared" si="11">COUNT(E291:P291)</x:f>
        <x:v>12</x:v>
      </x:c>
      <x:c r="R291" s="13" t="n">
        <x:f t="shared" si="12">SUM(E291:P291)</x:f>
        <x:v>59</x:v>
      </x:c>
      <x:c r="S291" s="14" t="n">
        <x:f>IF(Q291&gt;0,R291/Q291,"")</x:f>
        <x:v>4.916666666666667</x:v>
      </x:c>
      <x:c r="T291" s="15">
        <x:v>3280969</x:v>
      </x:c>
      <x:c r="U291" s="15">
        <x:v>0</x:v>
      </x:c>
      <x:c r="V291" s="14">
        <x:v>4494785</x:v>
      </x:c>
      <x:c r="W291" s="14" t="n">
        <x:f>IF(AND(Q291&gt;0,S291&gt;0,V291&lt;&gt;""),V291/S291/Q291,"")</x:f>
        <x:v>76182.79661016949</x:v>
      </x:c>
      <x:c r="X291" s="3" t="s">
        <x:v>817</x:v>
      </x:c>
    </x:row>
    <x:row r="292">
      <x:c r="A292" s="12" t="s">
        <x:v>472</x:v>
      </x:c>
      <x:c r="B292" s="3" t="s">
        <x:v>473</x:v>
      </x:c>
      <x:c r="C292" s="4" t="s">
        <x:v>818</x:v>
      </x:c>
      <x:c r="D292" s="5">
        <x:v>306</x:v>
      </x:c>
      <x:c r="E292" s="13"/>
      <x:c r="F292" s="13"/>
      <x:c r="G292" s="13">
        <x:v>1</x:v>
      </x:c>
      <x:c r="H292" s="13"/>
      <x:c r="I292" s="13">
        <x:v>1</x:v>
      </x:c>
      <x:c r="J292" s="13">
        <x:v>2</x:v>
      </x:c>
      <x:c r="K292" s="13">
        <x:v>1</x:v>
      </x:c>
      <x:c r="L292" s="13">
        <x:v>1</x:v>
      </x:c>
      <x:c r="M292" s="13">
        <x:v>1</x:v>
      </x:c>
      <x:c r="N292" s="13">
        <x:v>1</x:v>
      </x:c>
      <x:c r="O292" s="13">
        <x:v>1</x:v>
      </x:c>
      <x:c r="P292" s="13"/>
      <x:c r="Q292" s="13" t="n">
        <x:f t="shared" si="11">COUNT(E292:P292)</x:f>
        <x:v>8</x:v>
      </x:c>
      <x:c r="R292" s="13" t="n">
        <x:f t="shared" si="12">SUM(E292:P292)</x:f>
        <x:v>9</x:v>
      </x:c>
      <x:c r="S292" s="14" t="n">
        <x:f>IF(Q292&gt;0,R292/Q292,"")</x:f>
        <x:v>1.125</x:v>
      </x:c>
      <x:c r="T292" s="15">
        <x:v>2816</x:v>
      </x:c>
      <x:c r="U292" s="15">
        <x:v>9131</x:v>
      </x:c>
      <x:c r="V292" s="14">
        <x:v>680000</x:v>
      </x:c>
      <x:c r="W292" s="14" t="n">
        <x:f>IF(AND(Q292&gt;0,S292&gt;0,V292&lt;&gt;""),V292/S292/Q292,"")</x:f>
        <x:v>75555.55555555556</x:v>
      </x:c>
      <x:c r="X292" s="3" t="s">
        <x:v>819</x:v>
      </x:c>
    </x:row>
    <x:row r="293">
      <x:c r="A293" s="12" t="s">
        <x:v>672</x:v>
      </x:c>
      <x:c r="B293" s="3" t="s">
        <x:v>820</x:v>
      </x:c>
      <x:c r="C293" s="4" t="s">
        <x:v>821</x:v>
      </x:c>
      <x:c r="D293" s="5">
        <x:v>306</x:v>
      </x:c>
      <x:c r="E293" s="13"/>
      <x:c r="F293" s="13"/>
      <x:c r="G293" s="13"/>
      <x:c r="H293" s="13">
        <x:v>4</x:v>
      </x:c>
      <x:c r="I293" s="13">
        <x:v>4</x:v>
      </x:c>
      <x:c r="J293" s="13">
        <x:v>4</x:v>
      </x:c>
      <x:c r="K293" s="13">
        <x:v>4</x:v>
      </x:c>
      <x:c r="L293" s="13">
        <x:v>4</x:v>
      </x:c>
      <x:c r="M293" s="13">
        <x:v>4</x:v>
      </x:c>
      <x:c r="N293" s="13">
        <x:v>4</x:v>
      </x:c>
      <x:c r="O293" s="13">
        <x:v>4</x:v>
      </x:c>
      <x:c r="P293" s="13">
        <x:v>4</x:v>
      </x:c>
      <x:c r="Q293" s="13" t="n">
        <x:f t="shared" si="11">COUNT(E293:P293)</x:f>
        <x:v>9</x:v>
      </x:c>
      <x:c r="R293" s="13" t="n">
        <x:f t="shared" si="12">SUM(E293:P293)</x:f>
        <x:v>36</x:v>
      </x:c>
      <x:c r="S293" s="14" t="n">
        <x:f>IF(Q293&gt;0,R293/Q293,"")</x:f>
        <x:v>4</x:v>
      </x:c>
      <x:c r="T293" s="15">
        <x:v>7392</x:v>
      </x:c>
      <x:c r="U293" s="15">
        <x:v>0</x:v>
      </x:c>
      <x:c r="V293" s="14">
        <x:v>2720000</x:v>
      </x:c>
      <x:c r="W293" s="14" t="n">
        <x:f>IF(AND(Q293&gt;0,S293&gt;0,V293&lt;&gt;""),V293/S293/Q293,"")</x:f>
        <x:v>75555.55555555556</x:v>
      </x:c>
      <x:c r="X293" s="3" t="s">
        <x:v>822</x:v>
      </x:c>
    </x:row>
    <x:row r="294">
      <x:c r="A294" s="12" t="s">
        <x:v>220</x:v>
      </x:c>
      <x:c r="B294" s="3" t="s">
        <x:v>221</x:v>
      </x:c>
      <x:c r="C294" s="4" t="s">
        <x:v>823</x:v>
      </x:c>
      <x:c r="D294" s="5">
        <x:v>306</x:v>
      </x:c>
      <x:c r="E294" s="13"/>
      <x:c r="F294" s="13"/>
      <x:c r="G294" s="13"/>
      <x:c r="H294" s="13">
        <x:v>1</x:v>
      </x:c>
      <x:c r="I294" s="13">
        <x:v>1</x:v>
      </x:c>
      <x:c r="J294" s="13">
        <x:v>1</x:v>
      </x:c>
      <x:c r="K294" s="13">
        <x:v>1</x:v>
      </x:c>
      <x:c r="L294" s="13">
        <x:v>1</x:v>
      </x:c>
      <x:c r="M294" s="13">
        <x:v>1</x:v>
      </x:c>
      <x:c r="N294" s="13">
        <x:v>1</x:v>
      </x:c>
      <x:c r="O294" s="13">
        <x:v>1</x:v>
      </x:c>
      <x:c r="P294" s="13">
        <x:v>1</x:v>
      </x:c>
      <x:c r="Q294" s="13" t="n">
        <x:f t="shared" si="11">COUNT(E294:P294)</x:f>
        <x:v>9</x:v>
      </x:c>
      <x:c r="R294" s="13" t="n">
        <x:f t="shared" si="12">SUM(E294:P294)</x:f>
        <x:v>9</x:v>
      </x:c>
      <x:c r="S294" s="14" t="n">
        <x:f>IF(Q294&gt;0,R294/Q294,"")</x:f>
        <x:v>1</x:v>
      </x:c>
      <x:c r="T294" s="15">
        <x:v>1848</x:v>
      </x:c>
      <x:c r="U294" s="15">
        <x:v>0</x:v>
      </x:c>
      <x:c r="V294" s="14">
        <x:v>680000</x:v>
      </x:c>
      <x:c r="W294" s="14" t="n">
        <x:f>IF(AND(Q294&gt;0,S294&gt;0,V294&lt;&gt;""),V294/S294/Q294,"")</x:f>
        <x:v>75555.55555555556</x:v>
      </x:c>
      <x:c r="X294" s="3" t="s">
        <x:v>824</x:v>
      </x:c>
    </x:row>
    <x:row r="295">
      <x:c r="A295" s="12" t="s">
        <x:v>825</x:v>
      </x:c>
      <x:c r="B295" s="3" t="s">
        <x:v>826</x:v>
      </x:c>
      <x:c r="C295" s="4" t="s">
        <x:v>827</x:v>
      </x:c>
      <x:c r="D295" s="5">
        <x:v>306</x:v>
      </x:c>
      <x:c r="E295" s="13"/>
      <x:c r="F295" s="13"/>
      <x:c r="G295" s="13"/>
      <x:c r="H295" s="13"/>
      <x:c r="I295" s="13">
        <x:v>2</x:v>
      </x:c>
      <x:c r="J295" s="13">
        <x:v>2</x:v>
      </x:c>
      <x:c r="K295" s="13">
        <x:v>2</x:v>
      </x:c>
      <x:c r="L295" s="13">
        <x:v>8</x:v>
      </x:c>
      <x:c r="M295" s="13">
        <x:v>8</x:v>
      </x:c>
      <x:c r="N295" s="13">
        <x:v>9</x:v>
      </x:c>
      <x:c r="O295" s="13">
        <x:v>8</x:v>
      </x:c>
      <x:c r="P295" s="13">
        <x:v>3</x:v>
      </x:c>
      <x:c r="Q295" s="13" t="n">
        <x:f t="shared" si="11">COUNT(E295:P295)</x:f>
        <x:v>8</x:v>
      </x:c>
      <x:c r="R295" s="13" t="n">
        <x:f t="shared" si="12">SUM(E295:P295)</x:f>
        <x:v>42</x:v>
      </x:c>
      <x:c r="S295" s="14" t="n">
        <x:f>IF(Q295&gt;0,R295/Q295,"")</x:f>
        <x:v>5.25</x:v>
      </x:c>
      <x:c r="T295" s="15">
        <x:v>13676</x:v>
      </x:c>
      <x:c r="U295" s="15">
        <x:v>175621</x:v>
      </x:c>
      <x:c r="V295" s="14">
        <x:v>3155878</x:v>
      </x:c>
      <x:c r="W295" s="14" t="n">
        <x:f>IF(AND(Q295&gt;0,S295&gt;0,V295&lt;&gt;""),V295/S295/Q295,"")</x:f>
        <x:v>75139.95238095238</x:v>
      </x:c>
      <x:c r="X295" s="3" t="s">
        <x:v>828</x:v>
      </x:c>
    </x:row>
    <x:row r="296">
      <x:c r="A296" s="12" t="s">
        <x:v>220</x:v>
      </x:c>
      <x:c r="B296" s="3" t="s">
        <x:v>221</x:v>
      </x:c>
      <x:c r="C296" s="4" t="s">
        <x:v>829</x:v>
      </x:c>
      <x:c r="D296" s="5">
        <x:v>306</x:v>
      </x:c>
      <x:c r="E296" s="13"/>
      <x:c r="F296" s="13"/>
      <x:c r="G296" s="13"/>
      <x:c r="H296" s="13"/>
      <x:c r="I296" s="13"/>
      <x:c r="J296" s="13"/>
      <x:c r="K296" s="13"/>
      <x:c r="L296" s="13">
        <x:v>1</x:v>
      </x:c>
      <x:c r="M296" s="13">
        <x:v>1</x:v>
      </x:c>
      <x:c r="N296" s="13">
        <x:v>1</x:v>
      </x:c>
      <x:c r="O296" s="13">
        <x:v>1</x:v>
      </x:c>
      <x:c r="P296" s="13">
        <x:v>1</x:v>
      </x:c>
      <x:c r="Q296" s="13" t="n">
        <x:f t="shared" si="11">COUNT(E296:P296)</x:f>
        <x:v>5</x:v>
      </x:c>
      <x:c r="R296" s="13" t="n">
        <x:f t="shared" si="12">SUM(E296:P296)</x:f>
        <x:v>5</x:v>
      </x:c>
      <x:c r="S296" s="14" t="n">
        <x:f>IF(Q296&gt;0,R296/Q296,"")</x:f>
        <x:v>1</x:v>
      </x:c>
      <x:c r="T296" s="15">
        <x:v>1100</x:v>
      </x:c>
      <x:c r="U296" s="15">
        <x:v>0</x:v>
      </x:c>
      <x:c r="V296" s="14">
        <x:v>360000</x:v>
      </x:c>
      <x:c r="W296" s="14" t="n">
        <x:f>IF(AND(Q296&gt;0,S296&gt;0,V296&lt;&gt;""),V296/S296/Q296,"")</x:f>
        <x:v>72000</x:v>
      </x:c>
      <x:c r="X296" s="3" t="s">
        <x:v>830</x:v>
      </x:c>
    </x:row>
    <x:row r="297">
      <x:c r="A297" s="12" t="s">
        <x:v>154</x:v>
      </x:c>
      <x:c r="B297" s="3" t="s">
        <x:v>831</x:v>
      </x:c>
      <x:c r="C297" s="4" t="s">
        <x:v>832</x:v>
      </x:c>
      <x:c r="D297" s="5">
        <x:v>306</x:v>
      </x:c>
      <x:c r="E297" s="13"/>
      <x:c r="F297" s="13"/>
      <x:c r="G297" s="13"/>
      <x:c r="H297" s="13"/>
      <x:c r="I297" s="13"/>
      <x:c r="J297" s="13"/>
      <x:c r="K297" s="13">
        <x:v>1</x:v>
      </x:c>
      <x:c r="L297" s="13">
        <x:v>1</x:v>
      </x:c>
      <x:c r="M297" s="13">
        <x:v>1</x:v>
      </x:c>
      <x:c r="N297" s="13">
        <x:v>1</x:v>
      </x:c>
      <x:c r="O297" s="13">
        <x:v>1</x:v>
      </x:c>
      <x:c r="P297" s="13">
        <x:v>1</x:v>
      </x:c>
      <x:c r="Q297" s="13" t="n">
        <x:f t="shared" si="11">COUNT(E297:P297)</x:f>
        <x:v>6</x:v>
      </x:c>
      <x:c r="R297" s="13" t="n">
        <x:f t="shared" si="12">SUM(E297:P297)</x:f>
        <x:v>6</x:v>
      </x:c>
      <x:c r="S297" s="14" t="n">
        <x:f>IF(Q297&gt;0,R297/Q297,"")</x:f>
        <x:v>1</x:v>
      </x:c>
      <x:c r="T297" s="15">
        <x:v>6555</x:v>
      </x:c>
      <x:c r="U297" s="15">
        <x:v>20655</x:v>
      </x:c>
      <x:c r="V297" s="14">
        <x:v>425000</x:v>
      </x:c>
      <x:c r="W297" s="14" t="n">
        <x:f>IF(AND(Q297&gt;0,S297&gt;0,V297&lt;&gt;""),V297/S297/Q297,"")</x:f>
        <x:v>70833.33333333333</x:v>
      </x:c>
      <x:c r="X297" s="3" t="s">
        <x:v>833</x:v>
      </x:c>
    </x:row>
    <x:row r="298">
      <x:c r="A298" s="12" t="s">
        <x:v>344</x:v>
      </x:c>
      <x:c r="B298" s="3" t="s">
        <x:v>345</x:v>
      </x:c>
      <x:c r="C298" s="4" t="s">
        <x:v>834</x:v>
      </x:c>
      <x:c r="D298" s="5">
        <x:v>306</x:v>
      </x:c>
      <x:c r="E298" s="13"/>
      <x:c r="F298" s="13"/>
      <x:c r="G298" s="13"/>
      <x:c r="H298" s="13"/>
      <x:c r="I298" s="13"/>
      <x:c r="J298" s="13"/>
      <x:c r="K298" s="13">
        <x:v>1</x:v>
      </x:c>
      <x:c r="L298" s="13">
        <x:v>1</x:v>
      </x:c>
      <x:c r="M298" s="13"/>
      <x:c r="N298" s="13"/>
      <x:c r="O298" s="13">
        <x:v>1</x:v>
      </x:c>
      <x:c r="P298" s="13"/>
      <x:c r="Q298" s="13" t="n">
        <x:f t="shared" si="11">COUNT(E298:P298)</x:f>
        <x:v>3</x:v>
      </x:c>
      <x:c r="R298" s="13" t="n">
        <x:f t="shared" si="12">SUM(E298:P298)</x:f>
        <x:v>3</x:v>
      </x:c>
      <x:c r="S298" s="14" t="n">
        <x:f>IF(Q298&gt;0,R298/Q298,"")</x:f>
        <x:v>1</x:v>
      </x:c>
      <x:c r="T298" s="15">
        <x:v>293</x:v>
      </x:c>
      <x:c r="U298" s="15">
        <x:v>0</x:v>
      </x:c>
      <x:c r="V298" s="14">
        <x:v>202667</x:v>
      </x:c>
      <x:c r="W298" s="14" t="n">
        <x:f>IF(AND(Q298&gt;0,S298&gt;0,V298&lt;&gt;""),V298/S298/Q298,"")</x:f>
        <x:v>67555.66666666667</x:v>
      </x:c>
      <x:c r="X298" s="3" t="s">
        <x:v>835</x:v>
      </x:c>
    </x:row>
    <x:row r="299">
      <x:c r="A299" s="12" t="s">
        <x:v>808</x:v>
      </x:c>
      <x:c r="B299" s="3" t="s">
        <x:v>809</x:v>
      </x:c>
      <x:c r="C299" s="4" t="s">
        <x:v>836</x:v>
      </x:c>
      <x:c r="D299" s="5">
        <x:v>306</x:v>
      </x:c>
      <x:c r="E299" s="13"/>
      <x:c r="F299" s="13"/>
      <x:c r="G299" s="13"/>
      <x:c r="H299" s="13"/>
      <x:c r="I299" s="13"/>
      <x:c r="J299" s="13"/>
      <x:c r="K299" s="13">
        <x:v>2</x:v>
      </x:c>
      <x:c r="L299" s="13">
        <x:v>2</x:v>
      </x:c>
      <x:c r="M299" s="13">
        <x:v>2</x:v>
      </x:c>
      <x:c r="N299" s="13">
        <x:v>1</x:v>
      </x:c>
      <x:c r="O299" s="13">
        <x:v>1</x:v>
      </x:c>
      <x:c r="P299" s="13">
        <x:v>1</x:v>
      </x:c>
      <x:c r="Q299" s="13" t="n">
        <x:f t="shared" si="11">COUNT(E299:P299)</x:f>
        <x:v>6</x:v>
      </x:c>
      <x:c r="R299" s="13" t="n">
        <x:f t="shared" si="12">SUM(E299:P299)</x:f>
        <x:v>9</x:v>
      </x:c>
      <x:c r="S299" s="14" t="n">
        <x:f>IF(Q299&gt;0,R299/Q299,"")</x:f>
        <x:v>1.5</x:v>
      </x:c>
      <x:c r="T299" s="15">
        <x:v>21786</x:v>
      </x:c>
      <x:c r="U299" s="15">
        <x:v>31260</x:v>
      </x:c>
      <x:c r="V299" s="14">
        <x:v>600000</x:v>
      </x:c>
      <x:c r="W299" s="14" t="n">
        <x:f>IF(AND(Q299&gt;0,S299&gt;0,V299&lt;&gt;""),V299/S299/Q299,"")</x:f>
        <x:v>66666.66666666667</x:v>
      </x:c>
      <x:c r="X299" s="3" t="s">
        <x:v>837</x:v>
      </x:c>
    </x:row>
    <x:row r="300">
      <x:c r="A300" s="12" t="s">
        <x:v>838</x:v>
      </x:c>
      <x:c r="B300" s="3" t="s">
        <x:v>839</x:v>
      </x:c>
      <x:c r="C300" s="4" t="s">
        <x:v>840</x:v>
      </x:c>
      <x:c r="D300" s="5">
        <x:v>306</x:v>
      </x:c>
      <x:c r="E300" s="13">
        <x:v>1</x:v>
      </x:c>
      <x:c r="F300" s="13">
        <x:v>1</x:v>
      </x:c>
      <x:c r="G300" s="13">
        <x:v>1</x:v>
      </x:c>
      <x:c r="H300" s="13">
        <x:v>1</x:v>
      </x:c>
      <x:c r="I300" s="13">
        <x:v>1</x:v>
      </x:c>
      <x:c r="J300" s="13">
        <x:v>1</x:v>
      </x:c>
      <x:c r="K300" s="13">
        <x:v>1</x:v>
      </x:c>
      <x:c r="L300" s="13">
        <x:v>1</x:v>
      </x:c>
      <x:c r="M300" s="13">
        <x:v>1</x:v>
      </x:c>
      <x:c r="N300" s="13">
        <x:v>1</x:v>
      </x:c>
      <x:c r="O300" s="13">
        <x:v>1</x:v>
      </x:c>
      <x:c r="P300" s="13">
        <x:v>1</x:v>
      </x:c>
      <x:c r="Q300" s="13" t="n">
        <x:f t="shared" si="11">COUNT(E300:P300)</x:f>
        <x:v>12</x:v>
      </x:c>
      <x:c r="R300" s="13" t="n">
        <x:f t="shared" si="12">SUM(E300:P300)</x:f>
        <x:v>12</x:v>
      </x:c>
      <x:c r="S300" s="14" t="n">
        <x:f>IF(Q300&gt;0,R300/Q300,"")</x:f>
        <x:v>1</x:v>
      </x:c>
      <x:c r="T300" s="15">
        <x:v>1386</x:v>
      </x:c>
      <x:c r="U300" s="15">
        <x:v>36618</x:v>
      </x:c>
      <x:c r="V300" s="14">
        <x:v>510000</x:v>
      </x:c>
      <x:c r="W300" s="14" t="n">
        <x:f>IF(AND(Q300&gt;0,S300&gt;0,V300&lt;&gt;""),V300/S300/Q300,"")</x:f>
        <x:v>42500</x:v>
      </x:c>
      <x:c r="X300" s="3" t="s">
        <x:v>841</x:v>
      </x:c>
    </x:row>
    <x:row r="301">
      <x:c r="A301" s="12" t="s">
        <x:v>67</x:v>
      </x:c>
      <x:c r="B301" s="3" t="s">
        <x:v>68</x:v>
      </x:c>
      <x:c r="C301" s="4" t="s">
        <x:v>842</x:v>
      </x:c>
      <x:c r="D301" s="5">
        <x:v>306</x:v>
      </x:c>
      <x:c r="E301" s="13">
        <x:v>1</x:v>
      </x:c>
      <x:c r="F301" s="13">
        <x:v>1</x:v>
      </x:c>
      <x:c r="G301" s="13">
        <x:v>1</x:v>
      </x:c>
      <x:c r="H301" s="13">
        <x:v>2</x:v>
      </x:c>
      <x:c r="I301" s="13">
        <x:v>2</x:v>
      </x:c>
      <x:c r="J301" s="13">
        <x:v>3</x:v>
      </x:c>
      <x:c r="K301" s="13">
        <x:v>1</x:v>
      </x:c>
      <x:c r="L301" s="13">
        <x:v>1</x:v>
      </x:c>
      <x:c r="M301" s="13">
        <x:v>1</x:v>
      </x:c>
      <x:c r="N301" s="13">
        <x:v>1</x:v>
      </x:c>
      <x:c r="O301" s="13">
        <x:v>1</x:v>
      </x:c>
      <x:c r="P301" s="13">
        <x:v>1</x:v>
      </x:c>
      <x:c r="Q301" s="13" t="n">
        <x:f t="shared" si="11">COUNT(E301:P301)</x:f>
        <x:v>12</x:v>
      </x:c>
      <x:c r="R301" s="13" t="n">
        <x:f t="shared" si="12">SUM(E301:P301)</x:f>
        <x:v>16</x:v>
      </x:c>
      <x:c r="S301" s="14" t="n">
        <x:f>IF(Q301&gt;0,R301/Q301,"")</x:f>
        <x:v>1.3333333333333333</x:v>
      </x:c>
      <x:c r="T301" s="15">
        <x:v>5049</x:v>
      </x:c>
      <x:c r="U301" s="15">
        <x:v>29076</x:v>
      </x:c>
      <x:c r="V301" s="14">
        <x:v>597951</x:v>
      </x:c>
      <x:c r="W301" s="14" t="n">
        <x:f>IF(AND(Q301&gt;0,S301&gt;0,V301&lt;&gt;""),V301/S301/Q301,"")</x:f>
        <x:v>37371.9375</x:v>
      </x:c>
      <x:c r="X301" s="3" t="s">
        <x:v>843</x:v>
      </x:c>
    </x:row>
    <x:row r="302">
      <x:c r="A302" s="12" t="s">
        <x:v>98</x:v>
      </x:c>
      <x:c r="B302" s="3" t="s">
        <x:v>99</x:v>
      </x:c>
      <x:c r="C302" s="4" t="s">
        <x:v>844</x:v>
      </x:c>
      <x:c r="D302" s="5">
        <x:v>306</x:v>
      </x:c>
      <x:c r="E302" s="13">
        <x:v>1</x:v>
      </x:c>
      <x:c r="F302" s="13">
        <x:v>1</x:v>
      </x:c>
      <x:c r="G302" s="13">
        <x:v>1</x:v>
      </x:c>
      <x:c r="H302" s="13">
        <x:v>1</x:v>
      </x:c>
      <x:c r="I302" s="13">
        <x:v>1</x:v>
      </x:c>
      <x:c r="J302" s="13">
        <x:v>1</x:v>
      </x:c>
      <x:c r="K302" s="13">
        <x:v>2</x:v>
      </x:c>
      <x:c r="L302" s="13">
        <x:v>2</x:v>
      </x:c>
      <x:c r="M302" s="13">
        <x:v>2</x:v>
      </x:c>
      <x:c r="N302" s="13">
        <x:v>1</x:v>
      </x:c>
      <x:c r="O302" s="13">
        <x:v>1</x:v>
      </x:c>
      <x:c r="P302" s="13">
        <x:v>1</x:v>
      </x:c>
      <x:c r="Q302" s="13" t="n">
        <x:f t="shared" si="11">COUNT(E302:P302)</x:f>
        <x:v>12</x:v>
      </x:c>
      <x:c r="R302" s="13" t="n">
        <x:f t="shared" si="12">SUM(E302:P302)</x:f>
        <x:v>15</x:v>
      </x:c>
      <x:c r="S302" s="14" t="n">
        <x:f>IF(Q302&gt;0,R302/Q302,"")</x:f>
        <x:v>1.25</x:v>
      </x:c>
      <x:c r="T302" s="15">
        <x:v>4488</x:v>
      </x:c>
      <x:c r="U302" s="15">
        <x:v>23220</x:v>
      </x:c>
      <x:c r="V302" s="14">
        <x:v>510000</x:v>
      </x:c>
      <x:c r="W302" s="14" t="n">
        <x:f>IF(AND(Q302&gt;0,S302&gt;0,V302&lt;&gt;""),V302/S302/Q302,"")</x:f>
        <x:v>34000</x:v>
      </x:c>
      <x:c r="X302" s="3" t="s">
        <x:v>845</x:v>
      </x:c>
    </x:row>
    <x:row r="303">
      <x:c r="A303" s="12" t="s">
        <x:v>846</x:v>
      </x:c>
      <x:c r="B303" s="3" t="s">
        <x:v>847</x:v>
      </x:c>
      <x:c r="C303" s="4" t="s">
        <x:v>848</x:v>
      </x:c>
      <x:c r="D303" s="5">
        <x:v>306</x:v>
      </x:c>
      <x:c r="E303" s="13">
        <x:v>6</x:v>
      </x:c>
      <x:c r="F303" s="13"/>
      <x:c r="G303" s="13"/>
      <x:c r="H303" s="13"/>
      <x:c r="I303" s="13"/>
      <x:c r="J303" s="13"/>
      <x:c r="K303" s="13"/>
      <x:c r="L303" s="13"/>
      <x:c r="M303" s="13"/>
      <x:c r="N303" s="13"/>
      <x:c r="O303" s="13"/>
      <x:c r="P303" s="13"/>
      <x:c r="Q303" s="13" t="n">
        <x:f t="shared" si="11">COUNT(E303:P303)</x:f>
        <x:v>1</x:v>
      </x:c>
      <x:c r="R303" s="13" t="n">
        <x:f t="shared" si="12">SUM(E303:P303)</x:f>
        <x:v>6</x:v>
      </x:c>
      <x:c r="S303" s="14" t="n">
        <x:f>IF(Q303&gt;0,R303/Q303,"")</x:f>
        <x:v>6</x:v>
      </x:c>
      <x:c r="T303" s="15">
        <x:v>462</x:v>
      </x:c>
      <x:c r="U303" s="15">
        <x:v>5668</x:v>
      </x:c>
      <x:c r="V303" s="14">
        <x:v>170000</x:v>
      </x:c>
      <x:c r="W303" s="14" t="n">
        <x:f>IF(AND(Q303&gt;0,S303&gt;0,V303&lt;&gt;""),V303/S303/Q303,"")</x:f>
        <x:v>28333.333333333332</x:v>
      </x:c>
      <x:c r="X303" s="3" t="s">
        <x:v>849</x:v>
      </x:c>
    </x:row>
    <x:row r="304">
      <x:c r="A304" s="12" t="s">
        <x:v>71</x:v>
      </x:c>
      <x:c r="B304" s="3" t="s">
        <x:v>72</x:v>
      </x:c>
      <x:c r="C304" s="4" t="s">
        <x:v>850</x:v>
      </x:c>
      <x:c r="D304" s="5">
        <x:v>306</x:v>
      </x:c>
      <x:c r="E304" s="13"/>
      <x:c r="F304" s="13"/>
      <x:c r="G304" s="13"/>
      <x:c r="H304" s="13"/>
      <x:c r="I304" s="13"/>
      <x:c r="J304" s="13"/>
      <x:c r="K304" s="13"/>
      <x:c r="L304" s="13"/>
      <x:c r="M304" s="13"/>
      <x:c r="N304" s="13"/>
      <x:c r="O304" s="13"/>
      <x:c r="P304" s="13"/>
      <x:c r="Q304" s="13" t="n">
        <x:f>COUNT(E304:P304)</x:f>
        <x:v>0</x:v>
      </x:c>
      <x:c r="R304" s="13" t="n">
        <x:f>SUM(E304:P304)</x:f>
        <x:v>0</x:v>
      </x:c>
      <x:c r="S304" s="14" t="str">
        <x:f>IF(Q304&gt;0,R304/Q304,"")</x:f>
      </x:c>
      <x:c r="T304" s="15"/>
      <x:c r="U304" s="15"/>
      <x:c r="V304" s="14"/>
      <x:c r="W304" s="14" t="str">
        <x:f>IF(AND(Q304&gt;0,S304&gt;0,V304&lt;&gt;""),V304/S304/Q304,"")</x:f>
      </x:c>
      <x:c r="X304" s="3" t="s">
        <x:v>851</x:v>
      </x:c>
    </x:row>
    <x:row r="305">
      <x:c r="A305" s="12" t="s">
        <x:v>207</x:v>
      </x:c>
      <x:c r="B305" s="3" t="s">
        <x:v>376</x:v>
      </x:c>
      <x:c r="C305" s="4" t="s">
        <x:v>852</x:v>
      </x:c>
      <x:c r="D305" s="5">
        <x:v>306</x:v>
      </x:c>
      <x:c r="E305" s="13"/>
      <x:c r="F305" s="13"/>
      <x:c r="G305" s="13"/>
      <x:c r="H305" s="13"/>
      <x:c r="I305" s="13"/>
      <x:c r="J305" s="13"/>
      <x:c r="K305" s="13"/>
      <x:c r="L305" s="13"/>
      <x:c r="M305" s="13"/>
      <x:c r="N305" s="13"/>
      <x:c r="O305" s="13"/>
      <x:c r="P305" s="13"/>
      <x:c r="Q305" s="13" t="n">
        <x:f>COUNT(E305:P305)</x:f>
        <x:v>0</x:v>
      </x:c>
      <x:c r="R305" s="13" t="n">
        <x:f>SUM(E305:P305)</x:f>
        <x:v>0</x:v>
      </x:c>
      <x:c r="S305" s="14" t="str">
        <x:f>IF(Q305&gt;0,R305/Q305,"")</x:f>
      </x:c>
      <x:c r="T305" s="15"/>
      <x:c r="U305" s="15"/>
      <x:c r="V305" s="14"/>
      <x:c r="W305" s="14" t="str">
        <x:f>IF(AND(Q305&gt;0,S305&gt;0,V305&lt;&gt;""),V305/S305/Q305,"")</x:f>
      </x:c>
      <x:c r="X305" s="3" t="s">
        <x:v>853</x:v>
      </x:c>
    </x:row>
    <x:row r="306">
      <x:c r="A306" s="12" t="s">
        <x:v>854</x:v>
      </x:c>
      <x:c r="B306" s="3" t="s">
        <x:v>855</x:v>
      </x:c>
      <x:c r="C306" s="4" t="s">
        <x:v>856</x:v>
      </x:c>
      <x:c r="D306" s="5">
        <x:v>306</x:v>
      </x:c>
      <x:c r="E306" s="13"/>
      <x:c r="F306" s="13"/>
      <x:c r="G306" s="13"/>
      <x:c r="H306" s="13"/>
      <x:c r="I306" s="13"/>
      <x:c r="J306" s="13"/>
      <x:c r="K306" s="13"/>
      <x:c r="L306" s="13"/>
      <x:c r="M306" s="13"/>
      <x:c r="N306" s="13"/>
      <x:c r="O306" s="13"/>
      <x:c r="P306" s="13"/>
      <x:c r="Q306" s="13" t="n">
        <x:f>COUNT(E306:P306)</x:f>
        <x:v>0</x:v>
      </x:c>
      <x:c r="R306" s="13" t="n">
        <x:f>SUM(E306:P306)</x:f>
        <x:v>0</x:v>
      </x:c>
      <x:c r="S306" s="14" t="str">
        <x:f>IF(Q306&gt;0,R306/Q306,"")</x:f>
      </x:c>
      <x:c r="T306" s="15"/>
      <x:c r="U306" s="15"/>
      <x:c r="V306" s="14"/>
      <x:c r="W306" s="14" t="str">
        <x:f>IF(AND(Q306&gt;0,S306&gt;0,V306&lt;&gt;""),V306/S306/Q306,"")</x:f>
      </x:c>
      <x:c r="X306" s="3" t="s">
        <x:v>857</x:v>
      </x:c>
    </x:row>
    <x:row r="307">
      <x:c r="A307" s="12" t="s">
        <x:v>51</x:v>
      </x:c>
      <x:c r="B307" s="3" t="s">
        <x:v>52</x:v>
      </x:c>
      <x:c r="C307" s="4" t="s">
        <x:v>858</x:v>
      </x:c>
      <x:c r="D307" s="5">
        <x:v>306</x:v>
      </x:c>
      <x:c r="E307" s="13"/>
      <x:c r="F307" s="13"/>
      <x:c r="G307" s="13"/>
      <x:c r="H307" s="13"/>
      <x:c r="I307" s="13"/>
      <x:c r="J307" s="13"/>
      <x:c r="K307" s="13"/>
      <x:c r="L307" s="13"/>
      <x:c r="M307" s="13"/>
      <x:c r="N307" s="13"/>
      <x:c r="O307" s="13"/>
      <x:c r="P307" s="13"/>
      <x:c r="Q307" s="13" t="n">
        <x:f>COUNT(E307:P307)</x:f>
        <x:v>0</x:v>
      </x:c>
      <x:c r="R307" s="13" t="n">
        <x:f>SUM(E307:P307)</x:f>
        <x:v>0</x:v>
      </x:c>
      <x:c r="S307" s="14" t="str">
        <x:f>IF(Q307&gt;0,R307/Q307,"")</x:f>
      </x:c>
      <x:c r="T307" s="15"/>
      <x:c r="U307" s="15"/>
      <x:c r="V307" s="14"/>
      <x:c r="W307" s="14" t="str">
        <x:f>IF(AND(Q307&gt;0,S307&gt;0,V307&lt;&gt;""),V307/S307/Q307,"")</x:f>
      </x:c>
      <x:c r="X307" s="3" t="s">
        <x:v>859</x:v>
      </x:c>
    </x:row>
    <x:row r="308">
      <x:c r="A308" s="12" t="s">
        <x:v>296</x:v>
      </x:c>
      <x:c r="B308" s="3" t="s">
        <x:v>860</x:v>
      </x:c>
      <x:c r="C308" s="4" t="s">
        <x:v>861</x:v>
      </x:c>
      <x:c r="D308" s="5">
        <x:v>306</x:v>
      </x:c>
      <x:c r="E308" s="13"/>
      <x:c r="F308" s="13"/>
      <x:c r="G308" s="13"/>
      <x:c r="H308" s="13"/>
      <x:c r="I308" s="13"/>
      <x:c r="J308" s="13"/>
      <x:c r="K308" s="13"/>
      <x:c r="L308" s="13"/>
      <x:c r="M308" s="13"/>
      <x:c r="N308" s="13"/>
      <x:c r="O308" s="13"/>
      <x:c r="P308" s="13"/>
      <x:c r="Q308" s="13" t="n">
        <x:f>COUNT(E308:P308)</x:f>
        <x:v>0</x:v>
      </x:c>
      <x:c r="R308" s="13" t="n">
        <x:f>SUM(E308:P308)</x:f>
        <x:v>0</x:v>
      </x:c>
      <x:c r="S308" s="14" t="str">
        <x:f>IF(Q308&gt;0,R308/Q308,"")</x:f>
      </x:c>
      <x:c r="T308" s="15"/>
      <x:c r="U308" s="15"/>
      <x:c r="V308" s="14"/>
      <x:c r="W308" s="14" t="str">
        <x:f>IF(AND(Q308&gt;0,S308&gt;0,V308&lt;&gt;""),V308/S308/Q308,"")</x:f>
      </x:c>
      <x:c r="X308" s="3" t="s">
        <x:v>862</x:v>
      </x:c>
    </x:row>
    <x:row r="309">
      <x:c r="A309" s="12" t="s">
        <x:v>408</x:v>
      </x:c>
      <x:c r="B309" s="3" t="s">
        <x:v>409</x:v>
      </x:c>
      <x:c r="C309" s="4" t="s">
        <x:v>863</x:v>
      </x:c>
      <x:c r="D309" s="5">
        <x:v>306</x:v>
      </x:c>
      <x:c r="E309" s="13"/>
      <x:c r="F309" s="13"/>
      <x:c r="G309" s="13"/>
      <x:c r="H309" s="13"/>
      <x:c r="I309" s="13"/>
      <x:c r="J309" s="13"/>
      <x:c r="K309" s="13"/>
      <x:c r="L309" s="13"/>
      <x:c r="M309" s="13"/>
      <x:c r="N309" s="13"/>
      <x:c r="O309" s="13"/>
      <x:c r="P309" s="13"/>
      <x:c r="Q309" s="13" t="n">
        <x:f>COUNT(E309:P309)</x:f>
        <x:v>0</x:v>
      </x:c>
      <x:c r="R309" s="13" t="n">
        <x:f>SUM(E309:P309)</x:f>
        <x:v>0</x:v>
      </x:c>
      <x:c r="S309" s="14" t="str">
        <x:f>IF(Q309&gt;0,R309/Q309,"")</x:f>
      </x:c>
      <x:c r="T309" s="15">
        <x:v>0</x:v>
      </x:c>
      <x:c r="U309" s="15"/>
      <x:c r="V309" s="14"/>
      <x:c r="W309" s="14" t="str">
        <x:f>IF(AND(Q309&gt;0,S309&gt;0,V309&lt;&gt;""),V309/S309/Q309,"")</x:f>
      </x:c>
      <x:c r="X309" s="3" t="s">
        <x:v>864</x:v>
      </x:c>
    </x:row>
    <x:row r="310">
      <x:c r="A310" s="12" t="s">
        <x:v>732</x:v>
      </x:c>
      <x:c r="B310" s="3" t="s">
        <x:v>733</x:v>
      </x:c>
      <x:c r="C310" s="4" t="s">
        <x:v>865</x:v>
      </x:c>
      <x:c r="D310" s="5">
        <x:v>306</x:v>
      </x:c>
      <x:c r="E310" s="13"/>
      <x:c r="F310" s="13"/>
      <x:c r="G310" s="13"/>
      <x:c r="H310" s="13"/>
      <x:c r="I310" s="13"/>
      <x:c r="J310" s="13"/>
      <x:c r="K310" s="13"/>
      <x:c r="L310" s="13"/>
      <x:c r="M310" s="13"/>
      <x:c r="N310" s="13"/>
      <x:c r="O310" s="13"/>
      <x:c r="P310" s="13"/>
      <x:c r="Q310" s="13" t="n">
        <x:f>COUNT(E310:P310)</x:f>
        <x:v>0</x:v>
      </x:c>
      <x:c r="R310" s="13" t="n">
        <x:f>SUM(E310:P310)</x:f>
        <x:v>0</x:v>
      </x:c>
      <x:c r="S310" s="14" t="str">
        <x:f>IF(Q310&gt;0,R310/Q310,"")</x:f>
      </x:c>
      <x:c r="T310" s="15"/>
      <x:c r="U310" s="15"/>
      <x:c r="V310" s="14"/>
      <x:c r="W310" s="14" t="str">
        <x:f>IF(AND(Q310&gt;0,S310&gt;0,V310&lt;&gt;""),V310/S310/Q310,"")</x:f>
      </x:c>
      <x:c r="X310" s="3" t="s">
        <x:v>866</x:v>
      </x:c>
    </x:row>
    <x:row r="311">
      <x:c r="A311" s="12" t="s">
        <x:v>846</x:v>
      </x:c>
      <x:c r="B311" s="3" t="s">
        <x:v>847</x:v>
      </x:c>
      <x:c r="C311" s="4" t="s">
        <x:v>867</x:v>
      </x:c>
      <x:c r="D311" s="5">
        <x:v>306</x:v>
      </x:c>
      <x:c r="E311" s="13"/>
      <x:c r="F311" s="13"/>
      <x:c r="G311" s="13"/>
      <x:c r="H311" s="13"/>
      <x:c r="I311" s="13"/>
      <x:c r="J311" s="13"/>
      <x:c r="K311" s="13"/>
      <x:c r="L311" s="13"/>
      <x:c r="M311" s="13"/>
      <x:c r="N311" s="13"/>
      <x:c r="O311" s="13"/>
      <x:c r="P311" s="13"/>
      <x:c r="Q311" s="13" t="n">
        <x:f>COUNT(E311:P311)</x:f>
        <x:v>0</x:v>
      </x:c>
      <x:c r="R311" s="13" t="n">
        <x:f>SUM(E311:P311)</x:f>
        <x:v>0</x:v>
      </x:c>
      <x:c r="S311" s="14" t="str">
        <x:f>IF(Q311&gt;0,R311/Q311,"")</x:f>
      </x:c>
      <x:c r="T311" s="15"/>
      <x:c r="U311" s="15"/>
      <x:c r="V311" s="14"/>
      <x:c r="W311" s="14" t="str">
        <x:f>IF(AND(Q311&gt;0,S311&gt;0,V311&lt;&gt;""),V311/S311/Q311,"")</x:f>
      </x:c>
      <x:c r="X311" s="3" t="s">
        <x:v>868</x:v>
      </x:c>
    </x:row>
    <x:row r="312">
      <x:c r="A312" s="12" t="s">
        <x:v>220</x:v>
      </x:c>
      <x:c r="B312" s="3" t="s">
        <x:v>221</x:v>
      </x:c>
      <x:c r="C312" s="4" t="s">
        <x:v>869</x:v>
      </x:c>
      <x:c r="D312" s="5">
        <x:v>306</x:v>
      </x:c>
      <x:c r="E312" s="13"/>
      <x:c r="F312" s="13"/>
      <x:c r="G312" s="13"/>
      <x:c r="H312" s="13"/>
      <x:c r="I312" s="13"/>
      <x:c r="J312" s="13"/>
      <x:c r="K312" s="13"/>
      <x:c r="L312" s="13"/>
      <x:c r="M312" s="13"/>
      <x:c r="N312" s="13"/>
      <x:c r="O312" s="13"/>
      <x:c r="P312" s="13"/>
      <x:c r="Q312" s="13" t="n">
        <x:f>COUNT(E312:P312)</x:f>
        <x:v>0</x:v>
      </x:c>
      <x:c r="R312" s="13" t="n">
        <x:f>SUM(E312:P312)</x:f>
        <x:v>0</x:v>
      </x:c>
      <x:c r="S312" s="14" t="str">
        <x:f>IF(Q312&gt;0,R312/Q312,"")</x:f>
      </x:c>
      <x:c r="T312" s="15"/>
      <x:c r="U312" s="15"/>
      <x:c r="V312" s="14"/>
      <x:c r="W312" s="14" t="str">
        <x:f>IF(AND(Q312&gt;0,S312&gt;0,V312&lt;&gt;""),V312/S312/Q312,"")</x:f>
      </x:c>
      <x:c r="X312" s="3" t="s">
        <x:v>870</x:v>
      </x:c>
    </x:row>
    <x:row r="313">
      <x:c r="A313" s="12" t="s">
        <x:v>51</x:v>
      </x:c>
      <x:c r="B313" s="3" t="s">
        <x:v>52</x:v>
      </x:c>
      <x:c r="C313" s="4" t="s">
        <x:v>871</x:v>
      </x:c>
      <x:c r="D313" s="5">
        <x:v>306</x:v>
      </x:c>
      <x:c r="E313" s="13"/>
      <x:c r="F313" s="13"/>
      <x:c r="G313" s="13"/>
      <x:c r="H313" s="13"/>
      <x:c r="I313" s="13"/>
      <x:c r="J313" s="13"/>
      <x:c r="K313" s="13"/>
      <x:c r="L313" s="13"/>
      <x:c r="M313" s="13"/>
      <x:c r="N313" s="13"/>
      <x:c r="O313" s="13"/>
      <x:c r="P313" s="13"/>
      <x:c r="Q313" s="13" t="n">
        <x:f>COUNT(E313:P313)</x:f>
        <x:v>0</x:v>
      </x:c>
      <x:c r="R313" s="13" t="n">
        <x:f>SUM(E313:P313)</x:f>
        <x:v>0</x:v>
      </x:c>
      <x:c r="S313" s="14" t="str">
        <x:f>IF(Q313&gt;0,R313/Q313,"")</x:f>
      </x:c>
      <x:c r="T313" s="15"/>
      <x:c r="U313" s="15"/>
      <x:c r="V313" s="14"/>
      <x:c r="W313" s="14" t="str">
        <x:f>IF(AND(Q313&gt;0,S313&gt;0,V313&lt;&gt;""),V313/S313/Q313,"")</x:f>
      </x:c>
      <x:c r="X313" s="3" t="s">
        <x:v>872</x:v>
      </x:c>
    </x:row>
    <x:row r="314">
      <x:c r="A314" s="12" t="s">
        <x:v>19</x:v>
      </x:c>
      <x:c r="B314" s="3" t="s">
        <x:v>20</x:v>
      </x:c>
      <x:c r="C314" s="4" t="s">
        <x:v>873</x:v>
      </x:c>
      <x:c r="D314" s="5">
        <x:v>306</x:v>
      </x:c>
      <x:c r="E314" s="13">
        <x:v>1</x:v>
      </x:c>
      <x:c r="F314" s="13">
        <x:v>1</x:v>
      </x:c>
      <x:c r="G314" s="13">
        <x:v>1</x:v>
      </x:c>
      <x:c r="H314" s="13">
        <x:v>1</x:v>
      </x:c>
      <x:c r="I314" s="13">
        <x:v>1</x:v>
      </x:c>
      <x:c r="J314" s="13">
        <x:v>1</x:v>
      </x:c>
      <x:c r="K314" s="13">
        <x:v>1</x:v>
      </x:c>
      <x:c r="L314" s="13">
        <x:v>1</x:v>
      </x:c>
      <x:c r="M314" s="13">
        <x:v>1</x:v>
      </x:c>
      <x:c r="N314" s="13">
        <x:v>1</x:v>
      </x:c>
      <x:c r="O314" s="13">
        <x:v>1</x:v>
      </x:c>
      <x:c r="P314" s="13">
        <x:v>1</x:v>
      </x:c>
      <x:c r="Q314" s="13" t="n">
        <x:f>COUNT(E314:P314)</x:f>
        <x:v>12</x:v>
      </x:c>
      <x:c r="R314" s="13" t="n">
        <x:f>SUM(E314:P314)</x:f>
        <x:v>12</x:v>
      </x:c>
      <x:c r="S314" s="14" t="n">
        <x:f>IF(Q314&gt;0,R314/Q314,"")</x:f>
        <x:v>1</x:v>
      </x:c>
      <x:c r="T314" s="15"/>
      <x:c r="U314" s="15"/>
      <x:c r="V314" s="14"/>
      <x:c r="W314" s="14" t="str">
        <x:f>IF(AND(Q314&gt;0,S314&gt;0,V314&lt;&gt;""),V314/S314/Q314,"")</x:f>
      </x:c>
      <x:c r="X314" s="3" t="s">
        <x:v>874</x:v>
      </x:c>
    </x:row>
    <x:row r="315">
      <x:c r="A315" s="12" t="s">
        <x:v>71</x:v>
      </x:c>
      <x:c r="B315" s="3" t="s">
        <x:v>72</x:v>
      </x:c>
      <x:c r="C315" s="4" t="s">
        <x:v>875</x:v>
      </x:c>
      <x:c r="D315" s="5">
        <x:v>306</x:v>
      </x:c>
      <x:c r="E315" s="13"/>
      <x:c r="F315" s="13"/>
      <x:c r="G315" s="13"/>
      <x:c r="H315" s="13"/>
      <x:c r="I315" s="13"/>
      <x:c r="J315" s="13"/>
      <x:c r="K315" s="13"/>
      <x:c r="L315" s="13"/>
      <x:c r="M315" s="13"/>
      <x:c r="N315" s="13"/>
      <x:c r="O315" s="13"/>
      <x:c r="P315" s="13"/>
      <x:c r="Q315" s="13" t="n">
        <x:f>COUNT(E315:P315)</x:f>
        <x:v>0</x:v>
      </x:c>
      <x:c r="R315" s="13" t="n">
        <x:f>SUM(E315:P315)</x:f>
        <x:v>0</x:v>
      </x:c>
      <x:c r="S315" s="14" t="str">
        <x:f>IF(Q315&gt;0,R315/Q315,"")</x:f>
      </x:c>
      <x:c r="T315" s="15"/>
      <x:c r="U315" s="15"/>
      <x:c r="V315" s="14"/>
      <x:c r="W315" s="14" t="str">
        <x:f>IF(AND(Q315&gt;0,S315&gt;0,V315&lt;&gt;""),V315/S315/Q315,"")</x:f>
      </x:c>
      <x:c r="X315" s="3" t="s">
        <x:v>876</x:v>
      </x:c>
    </x:row>
    <x:row r="316">
      <x:c r="A316" s="12" t="s">
        <x:v>877</x:v>
      </x:c>
      <x:c r="B316" s="3" t="s">
        <x:v>878</x:v>
      </x:c>
      <x:c r="C316" s="4" t="s">
        <x:v>879</x:v>
      </x:c>
      <x:c r="D316" s="5">
        <x:v>306</x:v>
      </x:c>
      <x:c r="E316" s="13"/>
      <x:c r="F316" s="13"/>
      <x:c r="G316" s="13"/>
      <x:c r="H316" s="13"/>
      <x:c r="I316" s="13"/>
      <x:c r="J316" s="13"/>
      <x:c r="K316" s="13"/>
      <x:c r="L316" s="13"/>
      <x:c r="M316" s="13"/>
      <x:c r="N316" s="13"/>
      <x:c r="O316" s="13"/>
      <x:c r="P316" s="13"/>
      <x:c r="Q316" s="13" t="n">
        <x:f>COUNT(E316:P316)</x:f>
        <x:v>0</x:v>
      </x:c>
      <x:c r="R316" s="13" t="n">
        <x:f>SUM(E316:P316)</x:f>
        <x:v>0</x:v>
      </x:c>
      <x:c r="S316" s="14" t="str">
        <x:f>IF(Q316&gt;0,R316/Q316,"")</x:f>
      </x:c>
      <x:c r="T316" s="15"/>
      <x:c r="U316" s="15"/>
      <x:c r="V316" s="14"/>
      <x:c r="W316" s="14" t="str">
        <x:f>IF(AND(Q316&gt;0,S316&gt;0,V316&lt;&gt;""),V316/S316/Q316,"")</x:f>
      </x:c>
      <x:c r="X316" s="3" t="s">
        <x:v>880</x:v>
      </x:c>
    </x:row>
    <x:row r="317">
      <x:c r="A317" s="12" t="s">
        <x:v>626</x:v>
      </x:c>
      <x:c r="B317" s="3" t="s">
        <x:v>627</x:v>
      </x:c>
      <x:c r="C317" s="4" t="s">
        <x:v>881</x:v>
      </x:c>
      <x:c r="D317" s="5">
        <x:v>306</x:v>
      </x:c>
      <x:c r="E317" s="13"/>
      <x:c r="F317" s="13"/>
      <x:c r="G317" s="13"/>
      <x:c r="H317" s="13"/>
      <x:c r="I317" s="13"/>
      <x:c r="J317" s="13"/>
      <x:c r="K317" s="13"/>
      <x:c r="L317" s="13"/>
      <x:c r="M317" s="13"/>
      <x:c r="N317" s="13"/>
      <x:c r="O317" s="13"/>
      <x:c r="P317" s="13"/>
      <x:c r="Q317" s="13" t="n">
        <x:f>COUNT(E317:P317)</x:f>
        <x:v>0</x:v>
      </x:c>
      <x:c r="R317" s="13" t="n">
        <x:f>SUM(E317:P317)</x:f>
        <x:v>0</x:v>
      </x:c>
      <x:c r="S317" s="14" t="str">
        <x:f>IF(Q317&gt;0,R317/Q317,"")</x:f>
      </x:c>
      <x:c r="T317" s="15"/>
      <x:c r="U317" s="15"/>
      <x:c r="V317" s="14"/>
      <x:c r="W317" s="14" t="str">
        <x:f>IF(AND(Q317&gt;0,S317&gt;0,V317&lt;&gt;""),V317/S317/Q317,"")</x:f>
      </x:c>
      <x:c r="X317" s="3" t="s">
        <x:v>882</x:v>
      </x:c>
    </x:row>
    <x:row r="318">
      <x:c r="A318" s="12" t="s">
        <x:v>98</x:v>
      </x:c>
      <x:c r="B318" s="3" t="s">
        <x:v>99</x:v>
      </x:c>
      <x:c r="C318" s="4" t="s">
        <x:v>883</x:v>
      </x:c>
      <x:c r="D318" s="5">
        <x:v>306</x:v>
      </x:c>
      <x:c r="E318" s="13"/>
      <x:c r="F318" s="13"/>
      <x:c r="G318" s="13"/>
      <x:c r="H318" s="13"/>
      <x:c r="I318" s="13"/>
      <x:c r="J318" s="13"/>
      <x:c r="K318" s="13"/>
      <x:c r="L318" s="13"/>
      <x:c r="M318" s="13"/>
      <x:c r="N318" s="13"/>
      <x:c r="O318" s="13"/>
      <x:c r="P318" s="13"/>
      <x:c r="Q318" s="13" t="n">
        <x:f>COUNT(E318:P318)</x:f>
        <x:v>0</x:v>
      </x:c>
      <x:c r="R318" s="13" t="n">
        <x:f>SUM(E318:P318)</x:f>
        <x:v>0</x:v>
      </x:c>
      <x:c r="S318" s="14" t="str">
        <x:f>IF(Q318&gt;0,R318/Q318,"")</x:f>
      </x:c>
      <x:c r="T318" s="15"/>
      <x:c r="U318" s="15"/>
      <x:c r="V318" s="14"/>
      <x:c r="W318" s="14" t="str">
        <x:f>IF(AND(Q318&gt;0,S318&gt;0,V318&lt;&gt;""),V318/S318/Q318,"")</x:f>
      </x:c>
      <x:c r="X318" s="3" t="s">
        <x:v>884</x:v>
      </x:c>
    </x:row>
    <x:row r="319">
      <x:c r="A319" s="12" t="s">
        <x:v>75</x:v>
      </x:c>
      <x:c r="B319" s="3" t="s">
        <x:v>885</x:v>
      </x:c>
      <x:c r="C319" s="4" t="s">
        <x:v>886</x:v>
      </x:c>
      <x:c r="D319" s="5">
        <x:v>306</x:v>
      </x:c>
      <x:c r="E319" s="13">
        <x:v>1</x:v>
      </x:c>
      <x:c r="F319" s="13">
        <x:v>1</x:v>
      </x:c>
      <x:c r="G319" s="13">
        <x:v>1</x:v>
      </x:c>
      <x:c r="H319" s="13"/>
      <x:c r="I319" s="13"/>
      <x:c r="J319" s="13"/>
      <x:c r="K319" s="13"/>
      <x:c r="L319" s="13"/>
      <x:c r="M319" s="13"/>
      <x:c r="N319" s="13">
        <x:v>1</x:v>
      </x:c>
      <x:c r="O319" s="13">
        <x:v>1</x:v>
      </x:c>
      <x:c r="P319" s="13">
        <x:v>1</x:v>
      </x:c>
      <x:c r="Q319" s="13" t="n">
        <x:f>COUNT(E319:P319)</x:f>
        <x:v>6</x:v>
      </x:c>
      <x:c r="R319" s="13" t="n">
        <x:f>SUM(E319:P319)</x:f>
        <x:v>6</x:v>
      </x:c>
      <x:c r="S319" s="14" t="n">
        <x:f>IF(Q319&gt;0,R319/Q319,"")</x:f>
        <x:v>1</x:v>
      </x:c>
      <x:c r="T319" s="15"/>
      <x:c r="U319" s="15"/>
      <x:c r="V319" s="14"/>
      <x:c r="W319" s="14" t="str">
        <x:f>IF(AND(Q319&gt;0,S319&gt;0,V319&lt;&gt;""),V319/S319/Q319,"")</x:f>
      </x:c>
      <x:c r="X319" s="3" t="s">
        <x:v>887</x:v>
      </x:c>
    </x:row>
    <x:row r="320">
      <x:c r="A320" s="12" t="s">
        <x:v>888</x:v>
      </x:c>
      <x:c r="B320" s="3" t="s">
        <x:v>889</x:v>
      </x:c>
      <x:c r="C320" s="4" t="s">
        <x:v>890</x:v>
      </x:c>
      <x:c r="D320" s="5">
        <x:v>306</x:v>
      </x:c>
      <x:c r="E320" s="13"/>
      <x:c r="F320" s="13"/>
      <x:c r="G320" s="13"/>
      <x:c r="H320" s="13"/>
      <x:c r="I320" s="13"/>
      <x:c r="J320" s="13"/>
      <x:c r="K320" s="13"/>
      <x:c r="L320" s="13"/>
      <x:c r="M320" s="13"/>
      <x:c r="N320" s="13"/>
      <x:c r="O320" s="13"/>
      <x:c r="P320" s="13"/>
      <x:c r="Q320" s="13" t="n">
        <x:f>COUNT(E320:P320)</x:f>
        <x:v>0</x:v>
      </x:c>
      <x:c r="R320" s="13" t="n">
        <x:f>SUM(E320:P320)</x:f>
        <x:v>0</x:v>
      </x:c>
      <x:c r="S320" s="14" t="str">
        <x:f>IF(Q320&gt;0,R320/Q320,"")</x:f>
      </x:c>
      <x:c r="T320" s="15"/>
      <x:c r="U320" s="15"/>
      <x:c r="V320" s="14"/>
      <x:c r="W320" s="14" t="str">
        <x:f>IF(AND(Q320&gt;0,S320&gt;0,V320&lt;&gt;""),V320/S320/Q320,"")</x:f>
      </x:c>
      <x:c r="X320" s="3" t="s">
        <x:v>891</x:v>
      </x:c>
    </x:row>
    <x:row r="321">
      <x:c r="A321" s="12" t="s">
        <x:v>892</x:v>
      </x:c>
      <x:c r="B321" s="3" t="s">
        <x:v>893</x:v>
      </x:c>
      <x:c r="C321" s="4" t="s">
        <x:v>894</x:v>
      </x:c>
      <x:c r="D321" s="5">
        <x:v>306</x:v>
      </x:c>
      <x:c r="E321" s="13">
        <x:v>1</x:v>
      </x:c>
      <x:c r="F321" s="13">
        <x:v>1</x:v>
      </x:c>
      <x:c r="G321" s="13">
        <x:v>1</x:v>
      </x:c>
      <x:c r="H321" s="13">
        <x:v>1</x:v>
      </x:c>
      <x:c r="I321" s="13">
        <x:v>1</x:v>
      </x:c>
      <x:c r="J321" s="13">
        <x:v>1</x:v>
      </x:c>
      <x:c r="K321" s="13">
        <x:v>1</x:v>
      </x:c>
      <x:c r="L321" s="13">
        <x:v>1</x:v>
      </x:c>
      <x:c r="M321" s="13">
        <x:v>1</x:v>
      </x:c>
      <x:c r="N321" s="13">
        <x:v>1</x:v>
      </x:c>
      <x:c r="O321" s="13">
        <x:v>1</x:v>
      </x:c>
      <x:c r="P321" s="13">
        <x:v>1</x:v>
      </x:c>
      <x:c r="Q321" s="13" t="n">
        <x:f>COUNT(E321:P321)</x:f>
        <x:v>12</x:v>
      </x:c>
      <x:c r="R321" s="13" t="n">
        <x:f>SUM(E321:P321)</x:f>
        <x:v>12</x:v>
      </x:c>
      <x:c r="S321" s="14" t="n">
        <x:f>IF(Q321&gt;0,R321/Q321,"")</x:f>
        <x:v>1</x:v>
      </x:c>
      <x:c r="T321" s="15"/>
      <x:c r="U321" s="15"/>
      <x:c r="V321" s="14"/>
      <x:c r="W321" s="14" t="str">
        <x:f>IF(AND(Q321&gt;0,S321&gt;0,V321&lt;&gt;""),V321/S321/Q321,"")</x:f>
      </x:c>
      <x:c r="X321" s="3" t="s">
        <x:v>895</x:v>
      </x:c>
    </x:row>
    <x:row r="322">
      <x:c r="A322" s="12" t="s">
        <x:v>71</x:v>
      </x:c>
      <x:c r="B322" s="3" t="s">
        <x:v>72</x:v>
      </x:c>
      <x:c r="C322" s="4" t="s">
        <x:v>896</x:v>
      </x:c>
      <x:c r="D322" s="5">
        <x:v>306</x:v>
      </x:c>
      <x:c r="E322" s="13"/>
      <x:c r="F322" s="13"/>
      <x:c r="G322" s="13"/>
      <x:c r="H322" s="13"/>
      <x:c r="I322" s="13"/>
      <x:c r="J322" s="13"/>
      <x:c r="K322" s="13"/>
      <x:c r="L322" s="13"/>
      <x:c r="M322" s="13"/>
      <x:c r="N322" s="13"/>
      <x:c r="O322" s="13"/>
      <x:c r="P322" s="13"/>
      <x:c r="Q322" s="13" t="n">
        <x:f>COUNT(E322:P322)</x:f>
        <x:v>0</x:v>
      </x:c>
      <x:c r="R322" s="13" t="n">
        <x:f>SUM(E322:P322)</x:f>
        <x:v>0</x:v>
      </x:c>
      <x:c r="S322" s="14" t="str">
        <x:f>IF(Q322&gt;0,R322/Q322,"")</x:f>
      </x:c>
      <x:c r="T322" s="15"/>
      <x:c r="U322" s="15"/>
      <x:c r="V322" s="14"/>
      <x:c r="W322" s="14" t="str">
        <x:f>IF(AND(Q322&gt;0,S322&gt;0,V322&lt;&gt;""),V322/S322/Q322,"")</x:f>
      </x:c>
      <x:c r="X322" s="3" t="s">
        <x:v>897</x:v>
      </x:c>
    </x:row>
    <x:row r="323">
      <x:c r="A323" s="12" t="s">
        <x:v>19</x:v>
      </x:c>
      <x:c r="B323" s="3" t="s">
        <x:v>20</x:v>
      </x:c>
      <x:c r="C323" s="4" t="s">
        <x:v>898</x:v>
      </x:c>
      <x:c r="D323" s="5">
        <x:v>306</x:v>
      </x:c>
      <x:c r="E323" s="13"/>
      <x:c r="F323" s="13"/>
      <x:c r="G323" s="13"/>
      <x:c r="H323" s="13"/>
      <x:c r="I323" s="13"/>
      <x:c r="J323" s="13"/>
      <x:c r="K323" s="13"/>
      <x:c r="L323" s="13"/>
      <x:c r="M323" s="13"/>
      <x:c r="N323" s="13"/>
      <x:c r="O323" s="13"/>
      <x:c r="P323" s="13"/>
      <x:c r="Q323" s="13" t="n">
        <x:f>COUNT(E323:P323)</x:f>
        <x:v>0</x:v>
      </x:c>
      <x:c r="R323" s="13" t="n">
        <x:f>SUM(E323:P323)</x:f>
        <x:v>0</x:v>
      </x:c>
      <x:c r="S323" s="14" t="str">
        <x:f>IF(Q323&gt;0,R323/Q323,"")</x:f>
      </x:c>
      <x:c r="T323" s="15"/>
      <x:c r="U323" s="15"/>
      <x:c r="V323" s="14"/>
      <x:c r="W323" s="14" t="str">
        <x:f>IF(AND(Q323&gt;0,S323&gt;0,V323&lt;&gt;""),V323/S323/Q323,"")</x:f>
      </x:c>
      <x:c r="X323" s="3" t="s">
        <x:v>899</x:v>
      </x:c>
    </x:row>
    <x:row r="324">
      <x:c r="A324" s="12" t="s">
        <x:v>316</x:v>
      </x:c>
      <x:c r="B324" s="3" t="s">
        <x:v>317</x:v>
      </x:c>
      <x:c r="C324" s="4" t="s">
        <x:v>900</x:v>
      </x:c>
      <x:c r="D324" s="5">
        <x:v>306</x:v>
      </x:c>
      <x:c r="E324" s="13">
        <x:v>1</x:v>
      </x:c>
      <x:c r="F324" s="13">
        <x:v>1</x:v>
      </x:c>
      <x:c r="G324" s="13">
        <x:v>1</x:v>
      </x:c>
      <x:c r="H324" s="13">
        <x:v>1</x:v>
      </x:c>
      <x:c r="I324" s="13">
        <x:v>1</x:v>
      </x:c>
      <x:c r="J324" s="13">
        <x:v>1</x:v>
      </x:c>
      <x:c r="K324" s="13">
        <x:v>1</x:v>
      </x:c>
      <x:c r="L324" s="13">
        <x:v>1</x:v>
      </x:c>
      <x:c r="M324" s="13">
        <x:v>1</x:v>
      </x:c>
      <x:c r="N324" s="13">
        <x:v>1</x:v>
      </x:c>
      <x:c r="O324" s="13">
        <x:v>1</x:v>
      </x:c>
      <x:c r="P324" s="13">
        <x:v>1</x:v>
      </x:c>
      <x:c r="Q324" s="13" t="n">
        <x:f>COUNT(E324:P324)</x:f>
        <x:v>12</x:v>
      </x:c>
      <x:c r="R324" s="13" t="n">
        <x:f>SUM(E324:P324)</x:f>
        <x:v>12</x:v>
      </x:c>
      <x:c r="S324" s="14" t="n">
        <x:f>IF(Q324&gt;0,R324/Q324,"")</x:f>
        <x:v>1</x:v>
      </x:c>
      <x:c r="T324" s="15">
        <x:v>0</x:v>
      </x:c>
      <x:c r="U324" s="15">
        <x:v>0</x:v>
      </x:c>
      <x:c r="V324" s="14"/>
      <x:c r="W324" s="14" t="str">
        <x:f>IF(AND(Q324&gt;0,S324&gt;0,V324&lt;&gt;""),V324/S324/Q324,"")</x:f>
      </x:c>
      <x:c r="X324" s="3" t="s">
        <x:v>901</x:v>
      </x:c>
    </x:row>
    <x:row r="325">
      <x:c r="A325" s="12" t="s">
        <x:v>472</x:v>
      </x:c>
      <x:c r="B325" s="3" t="s">
        <x:v>473</x:v>
      </x:c>
      <x:c r="C325" s="4" t="s">
        <x:v>902</x:v>
      </x:c>
      <x:c r="D325" s="5">
        <x:v>306</x:v>
      </x:c>
      <x:c r="E325" s="13"/>
      <x:c r="F325" s="13"/>
      <x:c r="G325" s="13"/>
      <x:c r="H325" s="13"/>
      <x:c r="I325" s="13"/>
      <x:c r="J325" s="13"/>
      <x:c r="K325" s="13"/>
      <x:c r="L325" s="13"/>
      <x:c r="M325" s="13"/>
      <x:c r="N325" s="13"/>
      <x:c r="O325" s="13"/>
      <x:c r="P325" s="13"/>
      <x:c r="Q325" s="13" t="n">
        <x:f>COUNT(E325:P325)</x:f>
        <x:v>0</x:v>
      </x:c>
      <x:c r="R325" s="13" t="n">
        <x:f>SUM(E325:P325)</x:f>
        <x:v>0</x:v>
      </x:c>
      <x:c r="S325" s="14" t="str">
        <x:f>IF(Q325&gt;0,R325/Q325,"")</x:f>
      </x:c>
      <x:c r="T325" s="15"/>
      <x:c r="U325" s="15"/>
      <x:c r="V325" s="14"/>
      <x:c r="W325" s="14" t="str">
        <x:f>IF(AND(Q325&gt;0,S325&gt;0,V325&lt;&gt;""),V325/S325/Q325,"")</x:f>
      </x:c>
      <x:c r="X325" s="3" t="s">
        <x:v>903</x:v>
      </x:c>
    </x:row>
    <x:row r="326">
      <x:c r="A326" s="12" t="s">
        <x:v>534</x:v>
      </x:c>
      <x:c r="B326" s="3" t="s">
        <x:v>904</x:v>
      </x:c>
      <x:c r="C326" s="4" t="s">
        <x:v>905</x:v>
      </x:c>
      <x:c r="D326" s="5">
        <x:v>306</x:v>
      </x:c>
      <x:c r="E326" s="13"/>
      <x:c r="F326" s="13"/>
      <x:c r="G326" s="13"/>
      <x:c r="H326" s="13"/>
      <x:c r="I326" s="13"/>
      <x:c r="J326" s="13"/>
      <x:c r="K326" s="13"/>
      <x:c r="L326" s="13"/>
      <x:c r="M326" s="13"/>
      <x:c r="N326" s="13"/>
      <x:c r="O326" s="13"/>
      <x:c r="P326" s="13"/>
      <x:c r="Q326" s="13" t="n">
        <x:f>COUNT(E326:P326)</x:f>
        <x:v>0</x:v>
      </x:c>
      <x:c r="R326" s="13" t="n">
        <x:f>SUM(E326:P326)</x:f>
        <x:v>0</x:v>
      </x:c>
      <x:c r="S326" s="14" t="str">
        <x:f>IF(Q326&gt;0,R326/Q326,"")</x:f>
      </x:c>
      <x:c r="T326" s="15"/>
      <x:c r="U326" s="15"/>
      <x:c r="V326" s="14"/>
      <x:c r="W326" s="14" t="str">
        <x:f>IF(AND(Q326&gt;0,S326&gt;0,V326&lt;&gt;""),V326/S326/Q326,"")</x:f>
      </x:c>
      <x:c r="X326" s="3" t="s">
        <x:v>906</x:v>
      </x:c>
    </x:row>
    <x:row r="327">
      <x:c r="A327" s="12" t="s">
        <x:v>907</x:v>
      </x:c>
      <x:c r="B327" s="3" t="s">
        <x:v>908</x:v>
      </x:c>
      <x:c r="C327" s="4" t="s">
        <x:v>909</x:v>
      </x:c>
      <x:c r="D327" s="5">
        <x:v>306</x:v>
      </x:c>
      <x:c r="E327" s="13"/>
      <x:c r="F327" s="13"/>
      <x:c r="G327" s="13"/>
      <x:c r="H327" s="13"/>
      <x:c r="I327" s="13"/>
      <x:c r="J327" s="13"/>
      <x:c r="K327" s="13"/>
      <x:c r="L327" s="13"/>
      <x:c r="M327" s="13"/>
      <x:c r="N327" s="13"/>
      <x:c r="O327" s="13"/>
      <x:c r="P327" s="13"/>
      <x:c r="Q327" s="13" t="n">
        <x:f>COUNT(E327:P327)</x:f>
        <x:v>0</x:v>
      </x:c>
      <x:c r="R327" s="13" t="n">
        <x:f>SUM(E327:P327)</x:f>
        <x:v>0</x:v>
      </x:c>
      <x:c r="S327" s="14" t="str">
        <x:f>IF(Q327&gt;0,R327/Q327,"")</x:f>
      </x:c>
      <x:c r="T327" s="15"/>
      <x:c r="U327" s="15"/>
      <x:c r="V327" s="14"/>
      <x:c r="W327" s="14" t="str">
        <x:f>IF(AND(Q327&gt;0,S327&gt;0,V327&lt;&gt;""),V327/S327/Q327,"")</x:f>
      </x:c>
      <x:c r="X327" s="3" t="s">
        <x:v>910</x:v>
      </x:c>
    </x:row>
    <x:row r="328">
      <x:c r="A328" s="12" t="s">
        <x:v>71</x:v>
      </x:c>
      <x:c r="B328" s="3" t="s">
        <x:v>72</x:v>
      </x:c>
      <x:c r="C328" s="4" t="s">
        <x:v>911</x:v>
      </x:c>
      <x:c r="D328" s="5">
        <x:v>306</x:v>
      </x:c>
      <x:c r="E328" s="13"/>
      <x:c r="F328" s="13"/>
      <x:c r="G328" s="13"/>
      <x:c r="H328" s="13"/>
      <x:c r="I328" s="13"/>
      <x:c r="J328" s="13"/>
      <x:c r="K328" s="13">
        <x:v>1</x:v>
      </x:c>
      <x:c r="L328" s="13">
        <x:v>1</x:v>
      </x:c>
      <x:c r="M328" s="13">
        <x:v>1</x:v>
      </x:c>
      <x:c r="N328" s="13"/>
      <x:c r="O328" s="13"/>
      <x:c r="P328" s="13"/>
      <x:c r="Q328" s="13" t="n">
        <x:f>COUNT(E328:P328)</x:f>
        <x:v>3</x:v>
      </x:c>
      <x:c r="R328" s="13" t="n">
        <x:f>SUM(E328:P328)</x:f>
        <x:v>3</x:v>
      </x:c>
      <x:c r="S328" s="14" t="n">
        <x:f>IF(Q328&gt;0,R328/Q328,"")</x:f>
        <x:v>1</x:v>
      </x:c>
      <x:c r="T328" s="15"/>
      <x:c r="U328" s="15"/>
      <x:c r="V328" s="14"/>
      <x:c r="W328" s="14" t="str">
        <x:f>IF(AND(Q328&gt;0,S328&gt;0,V328&lt;&gt;""),V328/S328/Q328,"")</x:f>
      </x:c>
      <x:c r="X328" s="3" t="s">
        <x:v>912</x:v>
      </x:c>
    </x:row>
    <x:row r="329">
      <x:c r="A329" s="12" t="s">
        <x:v>913</x:v>
      </x:c>
      <x:c r="B329" s="3" t="s">
        <x:v>914</x:v>
      </x:c>
      <x:c r="C329" s="4" t="s">
        <x:v>915</x:v>
      </x:c>
      <x:c r="D329" s="5">
        <x:v>306</x:v>
      </x:c>
      <x:c r="E329" s="13"/>
      <x:c r="F329" s="13"/>
      <x:c r="G329" s="13"/>
      <x:c r="H329" s="13"/>
      <x:c r="I329" s="13"/>
      <x:c r="J329" s="13"/>
      <x:c r="K329" s="13">
        <x:v>1</x:v>
      </x:c>
      <x:c r="L329" s="13">
        <x:v>1</x:v>
      </x:c>
      <x:c r="M329" s="13">
        <x:v>1</x:v>
      </x:c>
      <x:c r="N329" s="13">
        <x:v>1</x:v>
      </x:c>
      <x:c r="O329" s="13">
        <x:v>1</x:v>
      </x:c>
      <x:c r="P329" s="13">
        <x:v>1</x:v>
      </x:c>
      <x:c r="Q329" s="13" t="n">
        <x:f>COUNT(E329:P329)</x:f>
        <x:v>6</x:v>
      </x:c>
      <x:c r="R329" s="13" t="n">
        <x:f>SUM(E329:P329)</x:f>
        <x:v>6</x:v>
      </x:c>
      <x:c r="S329" s="14" t="n">
        <x:f>IF(Q329&gt;0,R329/Q329,"")</x:f>
        <x:v>1</x:v>
      </x:c>
      <x:c r="T329" s="15"/>
      <x:c r="U329" s="15"/>
      <x:c r="V329" s="14"/>
      <x:c r="W329" s="14" t="str">
        <x:f>IF(AND(Q329&gt;0,S329&gt;0,V329&lt;&gt;""),V329/S329/Q329,"")</x:f>
      </x:c>
      <x:c r="X329" s="3" t="s">
        <x:v>916</x:v>
      </x:c>
    </x:row>
    <x:row r="330">
      <x:c r="A330" s="12" t="s">
        <x:v>316</x:v>
      </x:c>
      <x:c r="B330" s="3" t="s">
        <x:v>317</x:v>
      </x:c>
      <x:c r="C330" s="4" t="s">
        <x:v>917</x:v>
      </x:c>
      <x:c r="D330" s="5">
        <x:v>306</x:v>
      </x:c>
      <x:c r="E330" s="13"/>
      <x:c r="F330" s="13"/>
      <x:c r="G330" s="13"/>
      <x:c r="H330" s="13"/>
      <x:c r="I330" s="13"/>
      <x:c r="J330" s="13"/>
      <x:c r="K330" s="13"/>
      <x:c r="L330" s="13"/>
      <x:c r="M330" s="13"/>
      <x:c r="N330" s="13"/>
      <x:c r="O330" s="13"/>
      <x:c r="P330" s="13"/>
      <x:c r="Q330" s="13" t="n">
        <x:f>COUNT(E330:P330)</x:f>
        <x:v>0</x:v>
      </x:c>
      <x:c r="R330" s="13" t="n">
        <x:f>SUM(E330:P330)</x:f>
        <x:v>0</x:v>
      </x:c>
      <x:c r="S330" s="14" t="str">
        <x:f>IF(Q330&gt;0,R330/Q330,"")</x:f>
      </x:c>
      <x:c r="T330" s="15">
        <x:v>0</x:v>
      </x:c>
      <x:c r="U330" s="15"/>
      <x:c r="V330" s="14"/>
      <x:c r="W330" s="14" t="str">
        <x:f>IF(AND(Q330&gt;0,S330&gt;0,V330&lt;&gt;""),V330/S330/Q330,"")</x:f>
      </x:c>
      <x:c r="X330" s="3" t="s">
        <x:v>918</x:v>
      </x:c>
    </x:row>
    <x:row r="331">
      <x:c r="A331" s="12" t="s">
        <x:v>316</x:v>
      </x:c>
      <x:c r="B331" s="3" t="s">
        <x:v>317</x:v>
      </x:c>
      <x:c r="C331" s="4" t="s">
        <x:v>919</x:v>
      </x:c>
      <x:c r="D331" s="5">
        <x:v>306</x:v>
      </x:c>
      <x:c r="E331" s="13"/>
      <x:c r="F331" s="13"/>
      <x:c r="G331" s="13"/>
      <x:c r="H331" s="13"/>
      <x:c r="I331" s="13"/>
      <x:c r="J331" s="13"/>
      <x:c r="K331" s="13"/>
      <x:c r="L331" s="13"/>
      <x:c r="M331" s="13"/>
      <x:c r="N331" s="13"/>
      <x:c r="O331" s="13"/>
      <x:c r="P331" s="13"/>
      <x:c r="Q331" s="13" t="n">
        <x:f>COUNT(E331:P331)</x:f>
        <x:v>0</x:v>
      </x:c>
      <x:c r="R331" s="13" t="n">
        <x:f>SUM(E331:P331)</x:f>
        <x:v>0</x:v>
      </x:c>
      <x:c r="S331" s="14" t="str">
        <x:f>IF(Q331&gt;0,R331/Q331,"")</x:f>
      </x:c>
      <x:c r="T331" s="15"/>
      <x:c r="U331" s="15"/>
      <x:c r="V331" s="14"/>
      <x:c r="W331" s="14" t="str">
        <x:f>IF(AND(Q331&gt;0,S331&gt;0,V331&lt;&gt;""),V331/S331/Q331,"")</x:f>
      </x:c>
      <x:c r="X331" s="3" t="s">
        <x:v>920</x:v>
      </x:c>
    </x:row>
    <x:row r="332">
      <x:c r="A332" s="12" t="s">
        <x:v>718</x:v>
      </x:c>
      <x:c r="B332" s="3" t="s">
        <x:v>719</x:v>
      </x:c>
      <x:c r="C332" s="4" t="s">
        <x:v>921</x:v>
      </x:c>
      <x:c r="D332" s="5">
        <x:v>306</x:v>
      </x:c>
      <x:c r="E332" s="13"/>
      <x:c r="F332" s="13"/>
      <x:c r="G332" s="13"/>
      <x:c r="H332" s="13"/>
      <x:c r="I332" s="13"/>
      <x:c r="J332" s="13"/>
      <x:c r="K332" s="13"/>
      <x:c r="L332" s="13"/>
      <x:c r="M332" s="13"/>
      <x:c r="N332" s="13"/>
      <x:c r="O332" s="13"/>
      <x:c r="P332" s="13"/>
      <x:c r="Q332" s="13" t="n">
        <x:f>COUNT(E332:P332)</x:f>
        <x:v>0</x:v>
      </x:c>
      <x:c r="R332" s="13" t="n">
        <x:f>SUM(E332:P332)</x:f>
        <x:v>0</x:v>
      </x:c>
      <x:c r="S332" s="14" t="str">
        <x:f>IF(Q332&gt;0,R332/Q332,"")</x:f>
      </x:c>
      <x:c r="T332" s="15"/>
      <x:c r="U332" s="15"/>
      <x:c r="V332" s="14"/>
      <x:c r="W332" s="14" t="str">
        <x:f>IF(AND(Q332&gt;0,S332&gt;0,V332&lt;&gt;""),V332/S332/Q332,"")</x:f>
      </x:c>
      <x:c r="X332" s="3" t="s">
        <x:v>922</x:v>
      </x:c>
    </x:row>
    <x:row r="333">
      <x:c r="A333" s="12" t="s">
        <x:v>923</x:v>
      </x:c>
      <x:c r="B333" s="3" t="s">
        <x:v>924</x:v>
      </x:c>
      <x:c r="C333" s="4" t="s">
        <x:v>925</x:v>
      </x:c>
      <x:c r="D333" s="5">
        <x:v>306</x:v>
      </x:c>
      <x:c r="E333" s="13"/>
      <x:c r="F333" s="13"/>
      <x:c r="G333" s="13"/>
      <x:c r="H333" s="13"/>
      <x:c r="I333" s="13"/>
      <x:c r="J333" s="13"/>
      <x:c r="K333" s="13"/>
      <x:c r="L333" s="13"/>
      <x:c r="M333" s="13"/>
      <x:c r="N333" s="13"/>
      <x:c r="O333" s="13"/>
      <x:c r="P333" s="13"/>
      <x:c r="Q333" s="13" t="n">
        <x:f>COUNT(E333:P333)</x:f>
        <x:v>0</x:v>
      </x:c>
      <x:c r="R333" s="13" t="n">
        <x:f>SUM(E333:P333)</x:f>
        <x:v>0</x:v>
      </x:c>
      <x:c r="S333" s="14" t="str">
        <x:f>IF(Q333&gt;0,R333/Q333,"")</x:f>
      </x:c>
      <x:c r="T333" s="15"/>
      <x:c r="U333" s="15"/>
      <x:c r="V333" s="14"/>
      <x:c r="W333" s="14" t="str">
        <x:f>IF(AND(Q333&gt;0,S333&gt;0,V333&lt;&gt;""),V333/S333/Q333,"")</x:f>
      </x:c>
      <x:c r="X333" s="3" t="s">
        <x:v>926</x:v>
      </x:c>
    </x:row>
    <x:row r="334">
      <x:c r="A334" s="12" t="s">
        <x:v>236</x:v>
      </x:c>
      <x:c r="B334" s="3" t="s">
        <x:v>237</x:v>
      </x:c>
      <x:c r="C334" s="4" t="s">
        <x:v>927</x:v>
      </x:c>
      <x:c r="D334" s="5">
        <x:v>306</x:v>
      </x:c>
      <x:c r="E334" s="13"/>
      <x:c r="F334" s="13"/>
      <x:c r="G334" s="13"/>
      <x:c r="H334" s="13"/>
      <x:c r="I334" s="13"/>
      <x:c r="J334" s="13">
        <x:v>35</x:v>
      </x:c>
      <x:c r="K334" s="13"/>
      <x:c r="L334" s="13"/>
      <x:c r="M334" s="13"/>
      <x:c r="N334" s="13"/>
      <x:c r="O334" s="13"/>
      <x:c r="P334" s="13"/>
      <x:c r="Q334" s="13" t="n">
        <x:f>COUNT(E334:P334)</x:f>
        <x:v>1</x:v>
      </x:c>
      <x:c r="R334" s="13" t="n">
        <x:f>SUM(E334:P334)</x:f>
        <x:v>35</x:v>
      </x:c>
      <x:c r="S334" s="14" t="n">
        <x:f>IF(Q334&gt;0,R334/Q334,"")</x:f>
        <x:v>35</x:v>
      </x:c>
      <x:c r="T334" s="15">
        <x:v>200000</x:v>
      </x:c>
      <x:c r="U334" s="15">
        <x:v>120000</x:v>
      </x:c>
      <x:c r="V334" s="14"/>
      <x:c r="W334" s="14" t="str">
        <x:f>IF(AND(Q334&gt;0,S334&gt;0,V334&lt;&gt;""),V334/S334/Q334,"")</x:f>
      </x:c>
      <x:c r="X334" s="3" t="s">
        <x:v>928</x:v>
      </x:c>
    </x:row>
    <x:row r="335">
      <x:c r="A335" s="12" t="s">
        <x:v>51</x:v>
      </x:c>
      <x:c r="B335" s="3" t="s">
        <x:v>52</x:v>
      </x:c>
      <x:c r="C335" s="4" t="s">
        <x:v>929</x:v>
      </x:c>
      <x:c r="D335" s="5">
        <x:v>306</x:v>
      </x:c>
      <x:c r="E335" s="13">
        <x:v>1</x:v>
      </x:c>
      <x:c r="F335" s="13">
        <x:v>1</x:v>
      </x:c>
      <x:c r="G335" s="13">
        <x:v>1</x:v>
      </x:c>
      <x:c r="H335" s="13">
        <x:v>1</x:v>
      </x:c>
      <x:c r="I335" s="13">
        <x:v>1</x:v>
      </x:c>
      <x:c r="J335" s="13">
        <x:v>1</x:v>
      </x:c>
      <x:c r="K335" s="13"/>
      <x:c r="L335" s="13"/>
      <x:c r="M335" s="13"/>
      <x:c r="N335" s="13"/>
      <x:c r="O335" s="13"/>
      <x:c r="P335" s="13"/>
      <x:c r="Q335" s="13" t="n">
        <x:f>COUNT(E335:P335)</x:f>
        <x:v>6</x:v>
      </x:c>
      <x:c r="R335" s="13" t="n">
        <x:f>SUM(E335:P335)</x:f>
        <x:v>6</x:v>
      </x:c>
      <x:c r="S335" s="14" t="n">
        <x:f>IF(Q335&gt;0,R335/Q335,"")</x:f>
        <x:v>1</x:v>
      </x:c>
      <x:c r="T335" s="15">
        <x:v>16509</x:v>
      </x:c>
      <x:c r="U335" s="15">
        <x:v>52725</x:v>
      </x:c>
      <x:c r="V335" s="14"/>
      <x:c r="W335" s="14" t="str">
        <x:f>IF(AND(Q335&gt;0,S335&gt;0,V335&lt;&gt;""),V335/S335/Q335,"")</x:f>
      </x:c>
      <x:c r="X335" s="3" t="s">
        <x:v>930</x:v>
      </x:c>
    </x:row>
    <x:row r="336">
      <x:c r="A336" s="12" t="s">
        <x:v>344</x:v>
      </x:c>
      <x:c r="B336" s="3" t="s">
        <x:v>931</x:v>
      </x:c>
      <x:c r="C336" s="4" t="s">
        <x:v>932</x:v>
      </x:c>
      <x:c r="D336" s="5">
        <x:v>306</x:v>
      </x:c>
      <x:c r="E336" s="13"/>
      <x:c r="F336" s="13"/>
      <x:c r="G336" s="13"/>
      <x:c r="H336" s="13"/>
      <x:c r="I336" s="13"/>
      <x:c r="J336" s="13"/>
      <x:c r="K336" s="13"/>
      <x:c r="L336" s="13"/>
      <x:c r="M336" s="13"/>
      <x:c r="N336" s="13"/>
      <x:c r="O336" s="13"/>
      <x:c r="P336" s="13"/>
      <x:c r="Q336" s="13" t="n">
        <x:f>COUNT(E336:P336)</x:f>
        <x:v>0</x:v>
      </x:c>
      <x:c r="R336" s="13" t="n">
        <x:f>SUM(E336:P336)</x:f>
        <x:v>0</x:v>
      </x:c>
      <x:c r="S336" s="14" t="str">
        <x:f>IF(Q336&gt;0,R336/Q336,"")</x:f>
      </x:c>
      <x:c r="T336" s="15"/>
      <x:c r="U336" s="15"/>
      <x:c r="V336" s="14"/>
      <x:c r="W336" s="14" t="str">
        <x:f>IF(AND(Q336&gt;0,S336&gt;0,V336&lt;&gt;""),V336/S336/Q336,"")</x:f>
      </x:c>
      <x:c r="X336" s="3" t="s">
        <x:v>933</x:v>
      </x:c>
    </x:row>
    <x:row r="337">
      <x:c r="A337" s="12" t="s">
        <x:v>934</x:v>
      </x:c>
      <x:c r="B337" s="3" t="s">
        <x:v>935</x:v>
      </x:c>
      <x:c r="C337" s="4" t="s">
        <x:v>936</x:v>
      </x:c>
      <x:c r="D337" s="5">
        <x:v>306</x:v>
      </x:c>
      <x:c r="E337" s="13"/>
      <x:c r="F337" s="13"/>
      <x:c r="G337" s="13"/>
      <x:c r="H337" s="13"/>
      <x:c r="I337" s="13"/>
      <x:c r="J337" s="13"/>
      <x:c r="K337" s="13"/>
      <x:c r="L337" s="13"/>
      <x:c r="M337" s="13"/>
      <x:c r="N337" s="13"/>
      <x:c r="O337" s="13"/>
      <x:c r="P337" s="13"/>
      <x:c r="Q337" s="13" t="n">
        <x:f>COUNT(E337:P337)</x:f>
        <x:v>0</x:v>
      </x:c>
      <x:c r="R337" s="13" t="n">
        <x:f>SUM(E337:P337)</x:f>
        <x:v>0</x:v>
      </x:c>
      <x:c r="S337" s="14" t="str">
        <x:f>IF(Q337&gt;0,R337/Q337,"")</x:f>
      </x:c>
      <x:c r="T337" s="15"/>
      <x:c r="U337" s="15"/>
      <x:c r="V337" s="14"/>
      <x:c r="W337" s="14" t="str">
        <x:f>IF(AND(Q337&gt;0,S337&gt;0,V337&lt;&gt;""),V337/S337/Q337,"")</x:f>
      </x:c>
      <x:c r="X337" s="3" t="s">
        <x:v>937</x:v>
      </x:c>
    </x:row>
    <x:row r="338">
      <x:c r="A338" s="12" t="s">
        <x:v>938</x:v>
      </x:c>
      <x:c r="B338" s="3" t="s">
        <x:v>939</x:v>
      </x:c>
      <x:c r="C338" s="4" t="s">
        <x:v>940</x:v>
      </x:c>
      <x:c r="D338" s="5">
        <x:v>306</x:v>
      </x:c>
      <x:c r="E338" s="13"/>
      <x:c r="F338" s="13"/>
      <x:c r="G338" s="13"/>
      <x:c r="H338" s="13"/>
      <x:c r="I338" s="13"/>
      <x:c r="J338" s="13"/>
      <x:c r="K338" s="13"/>
      <x:c r="L338" s="13"/>
      <x:c r="M338" s="13"/>
      <x:c r="N338" s="13"/>
      <x:c r="O338" s="13"/>
      <x:c r="P338" s="13"/>
      <x:c r="Q338" s="13" t="n">
        <x:f>COUNT(E338:P338)</x:f>
        <x:v>0</x:v>
      </x:c>
      <x:c r="R338" s="13" t="n">
        <x:f>SUM(E338:P338)</x:f>
        <x:v>0</x:v>
      </x:c>
      <x:c r="S338" s="14" t="str">
        <x:f>IF(Q338&gt;0,R338/Q338,"")</x:f>
      </x:c>
      <x:c r="T338" s="15"/>
      <x:c r="U338" s="15"/>
      <x:c r="V338" s="14"/>
      <x:c r="W338" s="14" t="str">
        <x:f>IF(AND(Q338&gt;0,S338&gt;0,V338&lt;&gt;""),V338/S338/Q338,"")</x:f>
      </x:c>
      <x:c r="X338" s="3" t="s">
        <x:v>941</x:v>
      </x:c>
    </x:row>
    <x:row r="339">
      <x:c r="A339" s="12" t="s">
        <x:v>942</x:v>
      </x:c>
      <x:c r="B339" s="3" t="s">
        <x:v>943</x:v>
      </x:c>
      <x:c r="C339" s="4" t="s">
        <x:v>944</x:v>
      </x:c>
      <x:c r="D339" s="5">
        <x:v>306</x:v>
      </x:c>
      <x:c r="E339" s="13">
        <x:v>1</x:v>
      </x:c>
      <x:c r="F339" s="13">
        <x:v>1</x:v>
      </x:c>
      <x:c r="G339" s="13">
        <x:v>1</x:v>
      </x:c>
      <x:c r="H339" s="13">
        <x:v>1</x:v>
      </x:c>
      <x:c r="I339" s="13">
        <x:v>1</x:v>
      </x:c>
      <x:c r="J339" s="13">
        <x:v>1</x:v>
      </x:c>
      <x:c r="K339" s="13">
        <x:v>1</x:v>
      </x:c>
      <x:c r="L339" s="13">
        <x:v>1</x:v>
      </x:c>
      <x:c r="M339" s="13">
        <x:v>1</x:v>
      </x:c>
      <x:c r="N339" s="13">
        <x:v>1</x:v>
      </x:c>
      <x:c r="O339" s="13">
        <x:v>1</x:v>
      </x:c>
      <x:c r="P339" s="13">
        <x:v>1</x:v>
      </x:c>
      <x:c r="Q339" s="13" t="n">
        <x:f>COUNT(E339:P339)</x:f>
        <x:v>12</x:v>
      </x:c>
      <x:c r="R339" s="13" t="n">
        <x:f>SUM(E339:P339)</x:f>
        <x:v>12</x:v>
      </x:c>
      <x:c r="S339" s="14" t="n">
        <x:f>IF(Q339&gt;0,R339/Q339,"")</x:f>
        <x:v>1</x:v>
      </x:c>
      <x:c r="T339" s="15"/>
      <x:c r="U339" s="15"/>
      <x:c r="V339" s="14"/>
      <x:c r="W339" s="14" t="str">
        <x:f>IF(AND(Q339&gt;0,S339&gt;0,V339&lt;&gt;""),V339/S339/Q339,"")</x:f>
      </x:c>
      <x:c r="X339" s="3" t="s">
        <x:v>945</x:v>
      </x:c>
    </x:row>
    <x:row r="340">
      <x:c r="A340" s="12" t="s">
        <x:v>316</x:v>
      </x:c>
      <x:c r="B340" s="3" t="s">
        <x:v>317</x:v>
      </x:c>
      <x:c r="C340" s="4" t="s">
        <x:v>946</x:v>
      </x:c>
      <x:c r="D340" s="5">
        <x:v>306</x:v>
      </x:c>
      <x:c r="E340" s="13">
        <x:v>1</x:v>
      </x:c>
      <x:c r="F340" s="13">
        <x:v>1</x:v>
      </x:c>
      <x:c r="G340" s="13">
        <x:v>1</x:v>
      </x:c>
      <x:c r="H340" s="13">
        <x:v>1</x:v>
      </x:c>
      <x:c r="I340" s="13">
        <x:v>1</x:v>
      </x:c>
      <x:c r="J340" s="13">
        <x:v>1</x:v>
      </x:c>
      <x:c r="K340" s="13">
        <x:v>1</x:v>
      </x:c>
      <x:c r="L340" s="13">
        <x:v>1</x:v>
      </x:c>
      <x:c r="M340" s="13">
        <x:v>1</x:v>
      </x:c>
      <x:c r="N340" s="13">
        <x:v>1</x:v>
      </x:c>
      <x:c r="O340" s="13">
        <x:v>1</x:v>
      </x:c>
      <x:c r="P340" s="13">
        <x:v>1</x:v>
      </x:c>
      <x:c r="Q340" s="13" t="n">
        <x:f>COUNT(E340:P340)</x:f>
        <x:v>12</x:v>
      </x:c>
      <x:c r="R340" s="13" t="n">
        <x:f>SUM(E340:P340)</x:f>
        <x:v>12</x:v>
      </x:c>
      <x:c r="S340" s="14" t="n">
        <x:f>IF(Q340&gt;0,R340/Q340,"")</x:f>
        <x:v>1</x:v>
      </x:c>
      <x:c r="T340" s="15">
        <x:v>0</x:v>
      </x:c>
      <x:c r="U340" s="15">
        <x:v>0</x:v>
      </x:c>
      <x:c r="V340" s="14"/>
      <x:c r="W340" s="14" t="str">
        <x:f>IF(AND(Q340&gt;0,S340&gt;0,V340&lt;&gt;""),V340/S340/Q340,"")</x:f>
      </x:c>
      <x:c r="X340" s="3" t="s">
        <x:v>947</x:v>
      </x:c>
    </x:row>
    <x:row r="341">
      <x:c r="A341" s="12" t="s">
        <x:v>104</x:v>
      </x:c>
      <x:c r="B341" s="3" t="s">
        <x:v>170</x:v>
      </x:c>
      <x:c r="C341" s="4" t="s">
        <x:v>948</x:v>
      </x:c>
      <x:c r="D341" s="5">
        <x:v>306</x:v>
      </x:c>
      <x:c r="E341" s="13"/>
      <x:c r="F341" s="13"/>
      <x:c r="G341" s="13"/>
      <x:c r="H341" s="13"/>
      <x:c r="I341" s="13"/>
      <x:c r="J341" s="13"/>
      <x:c r="K341" s="13"/>
      <x:c r="L341" s="13"/>
      <x:c r="M341" s="13"/>
      <x:c r="N341" s="13"/>
      <x:c r="O341" s="13"/>
      <x:c r="P341" s="13"/>
      <x:c r="Q341" s="13" t="n">
        <x:f>COUNT(E341:P341)</x:f>
        <x:v>0</x:v>
      </x:c>
      <x:c r="R341" s="13" t="n">
        <x:f>SUM(E341:P341)</x:f>
        <x:v>0</x:v>
      </x:c>
      <x:c r="S341" s="14" t="str">
        <x:f>IF(Q341&gt;0,R341/Q341,"")</x:f>
      </x:c>
      <x:c r="T341" s="15">
        <x:v>0</x:v>
      </x:c>
      <x:c r="U341" s="15">
        <x:v>0</x:v>
      </x:c>
      <x:c r="V341" s="14"/>
      <x:c r="W341" s="14" t="str">
        <x:f>IF(AND(Q341&gt;0,S341&gt;0,V341&lt;&gt;""),V341/S341/Q341,"")</x:f>
      </x:c>
      <x:c r="X341" s="3" t="s">
        <x:v>949</x:v>
      </x:c>
    </x:row>
    <x:row r="342">
      <x:c r="A342" s="12" t="s">
        <x:v>950</x:v>
      </x:c>
      <x:c r="B342" s="3" t="s">
        <x:v>951</x:v>
      </x:c>
      <x:c r="C342" s="4" t="s">
        <x:v>952</x:v>
      </x:c>
      <x:c r="D342" s="5">
        <x:v>306</x:v>
      </x:c>
      <x:c r="E342" s="13"/>
      <x:c r="F342" s="13"/>
      <x:c r="G342" s="13"/>
      <x:c r="H342" s="13"/>
      <x:c r="I342" s="13"/>
      <x:c r="J342" s="13"/>
      <x:c r="K342" s="13"/>
      <x:c r="L342" s="13"/>
      <x:c r="M342" s="13"/>
      <x:c r="N342" s="13"/>
      <x:c r="O342" s="13"/>
      <x:c r="P342" s="13"/>
      <x:c r="Q342" s="13" t="n">
        <x:f>COUNT(E342:P342)</x:f>
        <x:v>0</x:v>
      </x:c>
      <x:c r="R342" s="13" t="n">
        <x:f>SUM(E342:P342)</x:f>
        <x:v>0</x:v>
      </x:c>
      <x:c r="S342" s="14" t="str">
        <x:f>IF(Q342&gt;0,R342/Q342,"")</x:f>
      </x:c>
      <x:c r="T342" s="15"/>
      <x:c r="U342" s="15"/>
      <x:c r="V342" s="14"/>
      <x:c r="W342" s="14" t="str">
        <x:f>IF(AND(Q342&gt;0,S342&gt;0,V342&lt;&gt;""),V342/S342/Q342,"")</x:f>
      </x:c>
      <x:c r="X342" s="3" t="s">
        <x:v>953</x:v>
      </x:c>
    </x:row>
    <x:row r="343">
      <x:c r="A343" s="12" t="s">
        <x:v>71</x:v>
      </x:c>
      <x:c r="B343" s="3" t="s">
        <x:v>72</x:v>
      </x:c>
      <x:c r="C343" s="4" t="s">
        <x:v>954</x:v>
      </x:c>
      <x:c r="D343" s="5">
        <x:v>306</x:v>
      </x:c>
      <x:c r="E343" s="13">
        <x:v>1</x:v>
      </x:c>
      <x:c r="F343" s="13">
        <x:v>1</x:v>
      </x:c>
      <x:c r="G343" s="13">
        <x:v>1</x:v>
      </x:c>
      <x:c r="H343" s="13">
        <x:v>1</x:v>
      </x:c>
      <x:c r="I343" s="13">
        <x:v>1</x:v>
      </x:c>
      <x:c r="J343" s="13">
        <x:v>1</x:v>
      </x:c>
      <x:c r="K343" s="13">
        <x:v>1</x:v>
      </x:c>
      <x:c r="L343" s="13">
        <x:v>1</x:v>
      </x:c>
      <x:c r="M343" s="13">
        <x:v>1</x:v>
      </x:c>
      <x:c r="N343" s="13">
        <x:v>1</x:v>
      </x:c>
      <x:c r="O343" s="13">
        <x:v>1</x:v>
      </x:c>
      <x:c r="P343" s="13">
        <x:v>1</x:v>
      </x:c>
      <x:c r="Q343" s="13" t="n">
        <x:f>COUNT(E343:P343)</x:f>
        <x:v>12</x:v>
      </x:c>
      <x:c r="R343" s="13" t="n">
        <x:f>SUM(E343:P343)</x:f>
        <x:v>12</x:v>
      </x:c>
      <x:c r="S343" s="14" t="n">
        <x:f>IF(Q343&gt;0,R343/Q343,"")</x:f>
        <x:v>1</x:v>
      </x:c>
      <x:c r="T343" s="15"/>
      <x:c r="U343" s="15"/>
      <x:c r="V343" s="14"/>
      <x:c r="W343" s="14" t="str">
        <x:f>IF(AND(Q343&gt;0,S343&gt;0,V343&lt;&gt;""),V343/S343/Q343,"")</x:f>
      </x:c>
      <x:c r="X343" s="3" t="s">
        <x:v>955</x:v>
      </x:c>
    </x:row>
    <x:row r="344">
      <x:c r="A344" s="12" t="s">
        <x:v>336</x:v>
      </x:c>
      <x:c r="B344" s="3" t="s">
        <x:v>337</x:v>
      </x:c>
      <x:c r="C344" s="4" t="s">
        <x:v>956</x:v>
      </x:c>
      <x:c r="D344" s="5">
        <x:v>306</x:v>
      </x:c>
      <x:c r="E344" s="13"/>
      <x:c r="F344" s="13"/>
      <x:c r="G344" s="13"/>
      <x:c r="H344" s="13"/>
      <x:c r="I344" s="13"/>
      <x:c r="J344" s="13"/>
      <x:c r="K344" s="13"/>
      <x:c r="L344" s="13"/>
      <x:c r="M344" s="13"/>
      <x:c r="N344" s="13"/>
      <x:c r="O344" s="13"/>
      <x:c r="P344" s="13"/>
      <x:c r="Q344" s="13" t="n">
        <x:f>COUNT(E344:P344)</x:f>
        <x:v>0</x:v>
      </x:c>
      <x:c r="R344" s="13" t="n">
        <x:f>SUM(E344:P344)</x:f>
        <x:v>0</x:v>
      </x:c>
      <x:c r="S344" s="14" t="str">
        <x:f>IF(Q344&gt;0,R344/Q344,"")</x:f>
      </x:c>
      <x:c r="T344" s="15"/>
      <x:c r="U344" s="15"/>
      <x:c r="V344" s="14"/>
      <x:c r="W344" s="14" t="str">
        <x:f>IF(AND(Q344&gt;0,S344&gt;0,V344&lt;&gt;""),V344/S344/Q344,"")</x:f>
      </x:c>
      <x:c r="X344" s="3" t="s">
        <x:v>957</x:v>
      </x:c>
    </x:row>
    <x:row r="345">
      <x:c r="A345" s="12" t="s">
        <x:v>296</x:v>
      </x:c>
      <x:c r="B345" s="3" t="s">
        <x:v>860</x:v>
      </x:c>
      <x:c r="C345" s="4" t="s">
        <x:v>958</x:v>
      </x:c>
      <x:c r="D345" s="5">
        <x:v>306</x:v>
      </x:c>
      <x:c r="E345" s="13"/>
      <x:c r="F345" s="13"/>
      <x:c r="G345" s="13"/>
      <x:c r="H345" s="13"/>
      <x:c r="I345" s="13"/>
      <x:c r="J345" s="13"/>
      <x:c r="K345" s="13"/>
      <x:c r="L345" s="13"/>
      <x:c r="M345" s="13"/>
      <x:c r="N345" s="13"/>
      <x:c r="O345" s="13"/>
      <x:c r="P345" s="13"/>
      <x:c r="Q345" s="13" t="n">
        <x:f>COUNT(E345:P345)</x:f>
        <x:v>0</x:v>
      </x:c>
      <x:c r="R345" s="13" t="n">
        <x:f>SUM(E345:P345)</x:f>
        <x:v>0</x:v>
      </x:c>
      <x:c r="S345" s="14" t="str">
        <x:f>IF(Q345&gt;0,R345/Q345,"")</x:f>
      </x:c>
      <x:c r="T345" s="15"/>
      <x:c r="U345" s="15"/>
      <x:c r="V345" s="14"/>
      <x:c r="W345" s="14" t="str">
        <x:f>IF(AND(Q345&gt;0,S345&gt;0,V345&lt;&gt;""),V345/S345/Q345,"")</x:f>
      </x:c>
      <x:c r="X345" s="3" t="s">
        <x:v>959</x:v>
      </x:c>
    </x:row>
    <x:row r="346">
      <x:c r="A346" s="12" t="s">
        <x:v>177</x:v>
      </x:c>
      <x:c r="B346" s="3" t="s">
        <x:v>178</x:v>
      </x:c>
      <x:c r="C346" s="4" t="s">
        <x:v>960</x:v>
      </x:c>
      <x:c r="D346" s="5">
        <x:v>306</x:v>
      </x:c>
      <x:c r="E346" s="13"/>
      <x:c r="F346" s="13"/>
      <x:c r="G346" s="13"/>
      <x:c r="H346" s="13"/>
      <x:c r="I346" s="13"/>
      <x:c r="J346" s="13"/>
      <x:c r="K346" s="13"/>
      <x:c r="L346" s="13"/>
      <x:c r="M346" s="13"/>
      <x:c r="N346" s="13"/>
      <x:c r="O346" s="13"/>
      <x:c r="P346" s="13"/>
      <x:c r="Q346" s="13" t="n">
        <x:f>COUNT(E346:P346)</x:f>
        <x:v>0</x:v>
      </x:c>
      <x:c r="R346" s="13" t="n">
        <x:f>SUM(E346:P346)</x:f>
        <x:v>0</x:v>
      </x:c>
      <x:c r="S346" s="14" t="str">
        <x:f>IF(Q346&gt;0,R346/Q346,"")</x:f>
      </x:c>
      <x:c r="T346" s="15">
        <x:v>0</x:v>
      </x:c>
      <x:c r="U346" s="15"/>
      <x:c r="V346" s="14"/>
      <x:c r="W346" s="14" t="str">
        <x:f>IF(AND(Q346&gt;0,S346&gt;0,V346&lt;&gt;""),V346/S346/Q346,"")</x:f>
      </x:c>
      <x:c r="X346" s="3" t="s">
        <x:v>961</x:v>
      </x:c>
    </x:row>
    <x:row r="347">
      <x:c r="A347" s="12" t="s">
        <x:v>962</x:v>
      </x:c>
      <x:c r="B347" s="3" t="s">
        <x:v>963</x:v>
      </x:c>
      <x:c r="C347" s="4" t="s">
        <x:v>964</x:v>
      </x:c>
      <x:c r="D347" s="5">
        <x:v>306</x:v>
      </x:c>
      <x:c r="E347" s="13"/>
      <x:c r="F347" s="13"/>
      <x:c r="G347" s="13"/>
      <x:c r="H347" s="13">
        <x:v>2</x:v>
      </x:c>
      <x:c r="I347" s="13">
        <x:v>2</x:v>
      </x:c>
      <x:c r="J347" s="13">
        <x:v>2</x:v>
      </x:c>
      <x:c r="K347" s="13">
        <x:v>2</x:v>
      </x:c>
      <x:c r="L347" s="13">
        <x:v>2</x:v>
      </x:c>
      <x:c r="M347" s="13">
        <x:v>2</x:v>
      </x:c>
      <x:c r="N347" s="13">
        <x:v>2</x:v>
      </x:c>
      <x:c r="O347" s="13">
        <x:v>2</x:v>
      </x:c>
      <x:c r="P347" s="13">
        <x:v>2</x:v>
      </x:c>
      <x:c r="Q347" s="13" t="n">
        <x:f>COUNT(E347:P347)</x:f>
        <x:v>9</x:v>
      </x:c>
      <x:c r="R347" s="13" t="n">
        <x:f>SUM(E347:P347)</x:f>
        <x:v>18</x:v>
      </x:c>
      <x:c r="S347" s="14" t="n">
        <x:f>IF(Q347&gt;0,R347/Q347,"")</x:f>
        <x:v>2</x:v>
      </x:c>
      <x:c r="T347" s="15"/>
      <x:c r="U347" s="15"/>
      <x:c r="V347" s="14"/>
      <x:c r="W347" s="14" t="str">
        <x:f>IF(AND(Q347&gt;0,S347&gt;0,V347&lt;&gt;""),V347/S347/Q347,"")</x:f>
      </x:c>
      <x:c r="X347" s="3" t="s">
        <x:v>965</x:v>
      </x:c>
    </x:row>
    <x:row r="348">
      <x:c r="A348" s="12" t="s">
        <x:v>877</x:v>
      </x:c>
      <x:c r="B348" s="3" t="s">
        <x:v>878</x:v>
      </x:c>
      <x:c r="C348" s="4" t="s">
        <x:v>966</x:v>
      </x:c>
      <x:c r="D348" s="5">
        <x:v>306</x:v>
      </x:c>
      <x:c r="E348" s="13"/>
      <x:c r="F348" s="13"/>
      <x:c r="G348" s="13"/>
      <x:c r="H348" s="13"/>
      <x:c r="I348" s="13"/>
      <x:c r="J348" s="13"/>
      <x:c r="K348" s="13"/>
      <x:c r="L348" s="13"/>
      <x:c r="M348" s="13"/>
      <x:c r="N348" s="13"/>
      <x:c r="O348" s="13"/>
      <x:c r="P348" s="13"/>
      <x:c r="Q348" s="13" t="n">
        <x:f>COUNT(E348:P348)</x:f>
        <x:v>0</x:v>
      </x:c>
      <x:c r="R348" s="13" t="n">
        <x:f>SUM(E348:P348)</x:f>
        <x:v>0</x:v>
      </x:c>
      <x:c r="S348" s="14" t="str">
        <x:f>IF(Q348&gt;0,R348/Q348,"")</x:f>
      </x:c>
      <x:c r="T348" s="15">
        <x:v>0</x:v>
      </x:c>
      <x:c r="U348" s="15"/>
      <x:c r="V348" s="14"/>
      <x:c r="W348" s="14" t="str">
        <x:f>IF(AND(Q348&gt;0,S348&gt;0,V348&lt;&gt;""),V348/S348/Q348,"")</x:f>
      </x:c>
      <x:c r="X348" s="3" t="s">
        <x:v>967</x:v>
      </x:c>
    </x:row>
    <x:row r="349">
      <x:c r="A349" s="12" t="s">
        <x:v>316</x:v>
      </x:c>
      <x:c r="B349" s="3" t="s">
        <x:v>317</x:v>
      </x:c>
      <x:c r="C349" s="4" t="s">
        <x:v>968</x:v>
      </x:c>
      <x:c r="D349" s="5">
        <x:v>306</x:v>
      </x:c>
      <x:c r="E349" s="13"/>
      <x:c r="F349" s="13"/>
      <x:c r="G349" s="13"/>
      <x:c r="H349" s="13"/>
      <x:c r="I349" s="13"/>
      <x:c r="J349" s="13"/>
      <x:c r="K349" s="13"/>
      <x:c r="L349" s="13"/>
      <x:c r="M349" s="13"/>
      <x:c r="N349" s="13">
        <x:v>1</x:v>
      </x:c>
      <x:c r="O349" s="13">
        <x:v>1</x:v>
      </x:c>
      <x:c r="P349" s="13">
        <x:v>1</x:v>
      </x:c>
      <x:c r="Q349" s="13" t="n">
        <x:f>COUNT(E349:P349)</x:f>
        <x:v>3</x:v>
      </x:c>
      <x:c r="R349" s="13" t="n">
        <x:f>SUM(E349:P349)</x:f>
        <x:v>3</x:v>
      </x:c>
      <x:c r="S349" s="14" t="n">
        <x:f>IF(Q349&gt;0,R349/Q349,"")</x:f>
        <x:v>1</x:v>
      </x:c>
      <x:c r="T349" s="15">
        <x:v>0</x:v>
      </x:c>
      <x:c r="U349" s="15">
        <x:v>0</x:v>
      </x:c>
      <x:c r="V349" s="14"/>
      <x:c r="W349" s="14" t="str">
        <x:f>IF(AND(Q349&gt;0,S349&gt;0,V349&lt;&gt;""),V349/S349/Q349,"")</x:f>
      </x:c>
      <x:c r="X349" s="3" t="s">
        <x:v>969</x:v>
      </x:c>
    </x:row>
    <x:row r="350">
      <x:c r="A350" s="12" t="s">
        <x:v>300</x:v>
      </x:c>
      <x:c r="B350" s="3" t="s">
        <x:v>301</x:v>
      </x:c>
      <x:c r="C350" s="4" t="s">
        <x:v>970</x:v>
      </x:c>
      <x:c r="D350" s="5">
        <x:v>306</x:v>
      </x:c>
      <x:c r="E350" s="13"/>
      <x:c r="F350" s="13"/>
      <x:c r="G350" s="13"/>
      <x:c r="H350" s="13"/>
      <x:c r="I350" s="13"/>
      <x:c r="J350" s="13"/>
      <x:c r="K350" s="13"/>
      <x:c r="L350" s="13"/>
      <x:c r="M350" s="13"/>
      <x:c r="N350" s="13"/>
      <x:c r="O350" s="13"/>
      <x:c r="P350" s="13"/>
      <x:c r="Q350" s="13" t="n">
        <x:f>COUNT(E350:P350)</x:f>
        <x:v>0</x:v>
      </x:c>
      <x:c r="R350" s="13" t="n">
        <x:f>SUM(E350:P350)</x:f>
        <x:v>0</x:v>
      </x:c>
      <x:c r="S350" s="14" t="str">
        <x:f>IF(Q350&gt;0,R350/Q350,"")</x:f>
      </x:c>
      <x:c r="T350" s="15"/>
      <x:c r="U350" s="15"/>
      <x:c r="V350" s="14"/>
      <x:c r="W350" s="14" t="str">
        <x:f>IF(AND(Q350&gt;0,S350&gt;0,V350&lt;&gt;""),V350/S350/Q350,"")</x:f>
      </x:c>
      <x:c r="X350" s="3" t="s">
        <x:v>971</x:v>
      </x:c>
    </x:row>
    <x:row r="351">
      <x:c r="A351" s="12" t="s">
        <x:v>316</x:v>
      </x:c>
      <x:c r="B351" s="3" t="s">
        <x:v>317</x:v>
      </x:c>
      <x:c r="C351" s="4" t="s">
        <x:v>972</x:v>
      </x:c>
      <x:c r="D351" s="5">
        <x:v>306</x:v>
      </x:c>
      <x:c r="E351" s="13"/>
      <x:c r="F351" s="13"/>
      <x:c r="G351" s="13"/>
      <x:c r="H351" s="13"/>
      <x:c r="I351" s="13"/>
      <x:c r="J351" s="13"/>
      <x:c r="K351" s="13"/>
      <x:c r="L351" s="13"/>
      <x:c r="M351" s="13"/>
      <x:c r="N351" s="13"/>
      <x:c r="O351" s="13"/>
      <x:c r="P351" s="13"/>
      <x:c r="Q351" s="13" t="n">
        <x:f>COUNT(E351:P351)</x:f>
        <x:v>0</x:v>
      </x:c>
      <x:c r="R351" s="13" t="n">
        <x:f>SUM(E351:P351)</x:f>
        <x:v>0</x:v>
      </x:c>
      <x:c r="S351" s="14" t="str">
        <x:f>IF(Q351&gt;0,R351/Q351,"")</x:f>
      </x:c>
      <x:c r="T351" s="15"/>
      <x:c r="U351" s="15"/>
      <x:c r="V351" s="14"/>
      <x:c r="W351" s="14" t="str">
        <x:f>IF(AND(Q351&gt;0,S351&gt;0,V351&lt;&gt;""),V351/S351/Q351,"")</x:f>
      </x:c>
      <x:c r="X351" s="3" t="s">
        <x:v>973</x:v>
      </x:c>
    </x:row>
    <x:row r="352">
      <x:c r="A352" s="12" t="s">
        <x:v>71</x:v>
      </x:c>
      <x:c r="B352" s="3" t="s">
        <x:v>72</x:v>
      </x:c>
      <x:c r="C352" s="4" t="s">
        <x:v>974</x:v>
      </x:c>
      <x:c r="D352" s="5">
        <x:v>306</x:v>
      </x:c>
      <x:c r="E352" s="13"/>
      <x:c r="F352" s="13"/>
      <x:c r="G352" s="13"/>
      <x:c r="H352" s="13"/>
      <x:c r="I352" s="13"/>
      <x:c r="J352" s="13"/>
      <x:c r="K352" s="13"/>
      <x:c r="L352" s="13"/>
      <x:c r="M352" s="13"/>
      <x:c r="N352" s="13"/>
      <x:c r="O352" s="13"/>
      <x:c r="P352" s="13"/>
      <x:c r="Q352" s="13" t="n">
        <x:f>COUNT(E352:P352)</x:f>
        <x:v>0</x:v>
      </x:c>
      <x:c r="R352" s="13" t="n">
        <x:f>SUM(E352:P352)</x:f>
        <x:v>0</x:v>
      </x:c>
      <x:c r="S352" s="14" t="str">
        <x:f>IF(Q352&gt;0,R352/Q352,"")</x:f>
      </x:c>
      <x:c r="T352" s="15"/>
      <x:c r="U352" s="15"/>
      <x:c r="V352" s="14"/>
      <x:c r="W352" s="14" t="str">
        <x:f>IF(AND(Q352&gt;0,S352&gt;0,V352&lt;&gt;""),V352/S352/Q352,"")</x:f>
      </x:c>
      <x:c r="X352" s="3" t="s">
        <x:v>975</x:v>
      </x:c>
    </x:row>
    <x:row r="353">
      <x:c r="A353" s="12" t="s">
        <x:v>976</x:v>
      </x:c>
      <x:c r="B353" s="3" t="s">
        <x:v>977</x:v>
      </x:c>
      <x:c r="C353" s="4" t="s">
        <x:v>978</x:v>
      </x:c>
      <x:c r="D353" s="5">
        <x:v>306</x:v>
      </x:c>
      <x:c r="E353" s="13">
        <x:v>1</x:v>
      </x:c>
      <x:c r="F353" s="13">
        <x:v>1</x:v>
      </x:c>
      <x:c r="G353" s="13">
        <x:v>1</x:v>
      </x:c>
      <x:c r="H353" s="13">
        <x:v>1</x:v>
      </x:c>
      <x:c r="I353" s="13">
        <x:v>1</x:v>
      </x:c>
      <x:c r="J353" s="13">
        <x:v>1</x:v>
      </x:c>
      <x:c r="K353" s="13">
        <x:v>1</x:v>
      </x:c>
      <x:c r="L353" s="13">
        <x:v>1</x:v>
      </x:c>
      <x:c r="M353" s="13">
        <x:v>1</x:v>
      </x:c>
      <x:c r="N353" s="13"/>
      <x:c r="O353" s="13"/>
      <x:c r="P353" s="13"/>
      <x:c r="Q353" s="13" t="n">
        <x:f>COUNT(E353:P353)</x:f>
        <x:v>9</x:v>
      </x:c>
      <x:c r="R353" s="13" t="n">
        <x:f>SUM(E353:P353)</x:f>
        <x:v>9</x:v>
      </x:c>
      <x:c r="S353" s="14" t="n">
        <x:f>IF(Q353&gt;0,R353/Q353,"")</x:f>
        <x:v>1</x:v>
      </x:c>
      <x:c r="T353" s="15"/>
      <x:c r="U353" s="15"/>
      <x:c r="V353" s="14"/>
      <x:c r="W353" s="14" t="str">
        <x:f>IF(AND(Q353&gt;0,S353&gt;0,V353&lt;&gt;""),V353/S353/Q353,"")</x:f>
      </x:c>
      <x:c r="X353" s="3" t="s">
        <x:v>979</x:v>
      </x:c>
    </x:row>
    <x:row r="354">
      <x:c r="A354" s="12" t="s">
        <x:v>942</x:v>
      </x:c>
      <x:c r="B354" s="3" t="s">
        <x:v>980</x:v>
      </x:c>
      <x:c r="C354" s="4" t="s">
        <x:v>981</x:v>
      </x:c>
      <x:c r="D354" s="5">
        <x:v>306</x:v>
      </x:c>
      <x:c r="E354" s="13"/>
      <x:c r="F354" s="13"/>
      <x:c r="G354" s="13"/>
      <x:c r="H354" s="13"/>
      <x:c r="I354" s="13"/>
      <x:c r="J354" s="13"/>
      <x:c r="K354" s="13"/>
      <x:c r="L354" s="13"/>
      <x:c r="M354" s="13"/>
      <x:c r="N354" s="13"/>
      <x:c r="O354" s="13"/>
      <x:c r="P354" s="13"/>
      <x:c r="Q354" s="13" t="n">
        <x:f>COUNT(E354:P354)</x:f>
        <x:v>0</x:v>
      </x:c>
      <x:c r="R354" s="13" t="n">
        <x:f>SUM(E354:P354)</x:f>
        <x:v>0</x:v>
      </x:c>
      <x:c r="S354" s="14" t="str">
        <x:f>IF(Q354&gt;0,R354/Q354,"")</x:f>
      </x:c>
      <x:c r="T354" s="15"/>
      <x:c r="U354" s="15"/>
      <x:c r="V354" s="14"/>
      <x:c r="W354" s="14" t="str">
        <x:f>IF(AND(Q354&gt;0,S354&gt;0,V354&lt;&gt;""),V354/S354/Q354,"")</x:f>
      </x:c>
      <x:c r="X354" s="3" t="s">
        <x:v>982</x:v>
      </x:c>
    </x:row>
    <x:row r="355">
      <x:c r="A355" s="12" t="s">
        <x:v>71</x:v>
      </x:c>
      <x:c r="B355" s="3" t="s">
        <x:v>72</x:v>
      </x:c>
      <x:c r="C355" s="4" t="s">
        <x:v>983</x:v>
      </x:c>
      <x:c r="D355" s="5">
        <x:v>306</x:v>
      </x:c>
      <x:c r="E355" s="13"/>
      <x:c r="F355" s="13"/>
      <x:c r="G355" s="13"/>
      <x:c r="H355" s="13"/>
      <x:c r="I355" s="13"/>
      <x:c r="J355" s="13"/>
      <x:c r="K355" s="13">
        <x:v>1</x:v>
      </x:c>
      <x:c r="L355" s="13">
        <x:v>1</x:v>
      </x:c>
      <x:c r="M355" s="13">
        <x:v>1</x:v>
      </x:c>
      <x:c r="N355" s="13"/>
      <x:c r="O355" s="13"/>
      <x:c r="P355" s="13"/>
      <x:c r="Q355" s="13" t="n">
        <x:f>COUNT(E355:P355)</x:f>
        <x:v>3</x:v>
      </x:c>
      <x:c r="R355" s="13" t="n">
        <x:f>SUM(E355:P355)</x:f>
        <x:v>3</x:v>
      </x:c>
      <x:c r="S355" s="14" t="n">
        <x:f>IF(Q355&gt;0,R355/Q355,"")</x:f>
        <x:v>1</x:v>
      </x:c>
      <x:c r="T355" s="15"/>
      <x:c r="U355" s="15"/>
      <x:c r="V355" s="14"/>
      <x:c r="W355" s="14" t="str">
        <x:f>IF(AND(Q355&gt;0,S355&gt;0,V355&lt;&gt;""),V355/S355/Q355,"")</x:f>
      </x:c>
      <x:c r="X355" s="3" t="s">
        <x:v>984</x:v>
      </x:c>
    </x:row>
    <x:row r="356">
      <x:c r="A356" s="12" t="s">
        <x:v>985</x:v>
      </x:c>
      <x:c r="B356" s="3" t="s">
        <x:v>986</x:v>
      </x:c>
      <x:c r="C356" s="4" t="s">
        <x:v>987</x:v>
      </x:c>
      <x:c r="D356" s="5">
        <x:v>306</x:v>
      </x:c>
      <x:c r="E356" s="13"/>
      <x:c r="F356" s="13"/>
      <x:c r="G356" s="13"/>
      <x:c r="H356" s="13"/>
      <x:c r="I356" s="13"/>
      <x:c r="J356" s="13"/>
      <x:c r="K356" s="13"/>
      <x:c r="L356" s="13"/>
      <x:c r="M356" s="13"/>
      <x:c r="N356" s="13"/>
      <x:c r="O356" s="13"/>
      <x:c r="P356" s="13"/>
      <x:c r="Q356" s="13" t="n">
        <x:f>COUNT(E356:P356)</x:f>
        <x:v>0</x:v>
      </x:c>
      <x:c r="R356" s="13" t="n">
        <x:f>SUM(E356:P356)</x:f>
        <x:v>0</x:v>
      </x:c>
      <x:c r="S356" s="14" t="str">
        <x:f>IF(Q356&gt;0,R356/Q356,"")</x:f>
      </x:c>
      <x:c r="T356" s="15"/>
      <x:c r="U356" s="15"/>
      <x:c r="V356" s="14"/>
      <x:c r="W356" s="14" t="str">
        <x:f>IF(AND(Q356&gt;0,S356&gt;0,V356&lt;&gt;""),V356/S356/Q356,"")</x:f>
      </x:c>
      <x:c r="X356" s="3" t="s">
        <x:v>988</x:v>
      </x:c>
    </x:row>
    <x:row r="357">
      <x:c r="A357" s="12" t="s">
        <x:v>989</x:v>
      </x:c>
      <x:c r="B357" s="3" t="s">
        <x:v>990</x:v>
      </x:c>
      <x:c r="C357" s="4" t="s">
        <x:v>991</x:v>
      </x:c>
      <x:c r="D357" s="5">
        <x:v>306</x:v>
      </x:c>
      <x:c r="E357" s="13"/>
      <x:c r="F357" s="13"/>
      <x:c r="G357" s="13"/>
      <x:c r="H357" s="13"/>
      <x:c r="I357" s="13"/>
      <x:c r="J357" s="13"/>
      <x:c r="K357" s="13"/>
      <x:c r="L357" s="13"/>
      <x:c r="M357" s="13"/>
      <x:c r="N357" s="13"/>
      <x:c r="O357" s="13"/>
      <x:c r="P357" s="13"/>
      <x:c r="Q357" s="13" t="n">
        <x:f>COUNT(E357:P357)</x:f>
        <x:v>0</x:v>
      </x:c>
      <x:c r="R357" s="13" t="n">
        <x:f>SUM(E357:P357)</x:f>
        <x:v>0</x:v>
      </x:c>
      <x:c r="S357" s="14" t="str">
        <x:f>IF(Q357&gt;0,R357/Q357,"")</x:f>
      </x:c>
      <x:c r="T357" s="15"/>
      <x:c r="U357" s="15"/>
      <x:c r="V357" s="14"/>
      <x:c r="W357" s="14" t="str">
        <x:f>IF(AND(Q357&gt;0,S357&gt;0,V357&lt;&gt;""),V357/S357/Q357,"")</x:f>
      </x:c>
      <x:c r="X357" s="3" t="s">
        <x:v>992</x:v>
      </x:c>
    </x:row>
    <x:row r="358">
      <x:c r="A358" s="12" t="s">
        <x:v>316</x:v>
      </x:c>
      <x:c r="B358" s="3" t="s">
        <x:v>317</x:v>
      </x:c>
      <x:c r="C358" s="4" t="s">
        <x:v>993</x:v>
      </x:c>
      <x:c r="D358" s="5">
        <x:v>306</x:v>
      </x:c>
      <x:c r="E358" s="13"/>
      <x:c r="F358" s="13"/>
      <x:c r="G358" s="13"/>
      <x:c r="H358" s="13"/>
      <x:c r="I358" s="13"/>
      <x:c r="J358" s="13"/>
      <x:c r="K358" s="13"/>
      <x:c r="L358" s="13"/>
      <x:c r="M358" s="13"/>
      <x:c r="N358" s="13"/>
      <x:c r="O358" s="13"/>
      <x:c r="P358" s="13"/>
      <x:c r="Q358" s="13" t="n">
        <x:f>COUNT(E358:P358)</x:f>
        <x:v>0</x:v>
      </x:c>
      <x:c r="R358" s="13" t="n">
        <x:f>SUM(E358:P358)</x:f>
        <x:v>0</x:v>
      </x:c>
      <x:c r="S358" s="14" t="str">
        <x:f>IF(Q358&gt;0,R358/Q358,"")</x:f>
      </x:c>
      <x:c r="T358" s="15">
        <x:v>0</x:v>
      </x:c>
      <x:c r="U358" s="15">
        <x:v>0</x:v>
      </x:c>
      <x:c r="V358" s="14"/>
      <x:c r="W358" s="14" t="str">
        <x:f>IF(AND(Q358&gt;0,S358&gt;0,V358&lt;&gt;""),V358/S358/Q358,"")</x:f>
      </x:c>
      <x:c r="X358" s="3" t="s">
        <x:v>994</x:v>
      </x:c>
    </x:row>
    <x:row r="359">
      <x:c r="A359" s="12" t="s">
        <x:v>344</x:v>
      </x:c>
      <x:c r="B359" s="3" t="s">
        <x:v>931</x:v>
      </x:c>
      <x:c r="C359" s="4" t="s">
        <x:v>995</x:v>
      </x:c>
      <x:c r="D359" s="5">
        <x:v>306</x:v>
      </x:c>
      <x:c r="E359" s="13"/>
      <x:c r="F359" s="13"/>
      <x:c r="G359" s="13"/>
      <x:c r="H359" s="13"/>
      <x:c r="I359" s="13"/>
      <x:c r="J359" s="13"/>
      <x:c r="K359" s="13"/>
      <x:c r="L359" s="13"/>
      <x:c r="M359" s="13"/>
      <x:c r="N359" s="13"/>
      <x:c r="O359" s="13"/>
      <x:c r="P359" s="13"/>
      <x:c r="Q359" s="13" t="n">
        <x:f>COUNT(E359:P359)</x:f>
        <x:v>0</x:v>
      </x:c>
      <x:c r="R359" s="13" t="n">
        <x:f>SUM(E359:P359)</x:f>
        <x:v>0</x:v>
      </x:c>
      <x:c r="S359" s="14" t="str">
        <x:f>IF(Q359&gt;0,R359/Q359,"")</x:f>
      </x:c>
      <x:c r="T359" s="15"/>
      <x:c r="U359" s="15"/>
      <x:c r="V359" s="14"/>
      <x:c r="W359" s="14" t="str">
        <x:f>IF(AND(Q359&gt;0,S359&gt;0,V359&lt;&gt;""),V359/S359/Q359,"")</x:f>
      </x:c>
      <x:c r="X359" s="3" t="s">
        <x:v>996</x:v>
      </x:c>
    </x:row>
    <x:row r="360">
      <x:c r="A360" s="12" t="s">
        <x:v>108</x:v>
      </x:c>
      <x:c r="B360" s="3" t="s">
        <x:v>271</x:v>
      </x:c>
      <x:c r="C360" s="4" t="s">
        <x:v>997</x:v>
      </x:c>
      <x:c r="D360" s="5">
        <x:v>306</x:v>
      </x:c>
      <x:c r="E360" s="13"/>
      <x:c r="F360" s="13"/>
      <x:c r="G360" s="13"/>
      <x:c r="H360" s="13"/>
      <x:c r="I360" s="13"/>
      <x:c r="J360" s="13"/>
      <x:c r="K360" s="13"/>
      <x:c r="L360" s="13"/>
      <x:c r="M360" s="13"/>
      <x:c r="N360" s="13"/>
      <x:c r="O360" s="13"/>
      <x:c r="P360" s="13"/>
      <x:c r="Q360" s="13" t="n">
        <x:f>COUNT(E360:P360)</x:f>
        <x:v>0</x:v>
      </x:c>
      <x:c r="R360" s="13" t="n">
        <x:f>SUM(E360:P360)</x:f>
        <x:v>0</x:v>
      </x:c>
      <x:c r="S360" s="14" t="str">
        <x:f>IF(Q360&gt;0,R360/Q360,"")</x:f>
      </x:c>
      <x:c r="T360" s="15"/>
      <x:c r="U360" s="15"/>
      <x:c r="V360" s="14"/>
      <x:c r="W360" s="14" t="str">
        <x:f>IF(AND(Q360&gt;0,S360&gt;0,V360&lt;&gt;""),V360/S360/Q360,"")</x:f>
      </x:c>
      <x:c r="X360" s="3" t="s">
        <x:v>998</x:v>
      </x:c>
    </x:row>
    <x:row r="361">
      <x:c r="A361" s="12" t="s">
        <x:v>316</x:v>
      </x:c>
      <x:c r="B361" s="3" t="s">
        <x:v>317</x:v>
      </x:c>
      <x:c r="C361" s="4" t="s">
        <x:v>999</x:v>
      </x:c>
      <x:c r="D361" s="5">
        <x:v>306</x:v>
      </x:c>
      <x:c r="E361" s="13">
        <x:v>1</x:v>
      </x:c>
      <x:c r="F361" s="13">
        <x:v>1</x:v>
      </x:c>
      <x:c r="G361" s="13">
        <x:v>1</x:v>
      </x:c>
      <x:c r="H361" s="13">
        <x:v>1</x:v>
      </x:c>
      <x:c r="I361" s="13">
        <x:v>1</x:v>
      </x:c>
      <x:c r="J361" s="13">
        <x:v>1</x:v>
      </x:c>
      <x:c r="K361" s="13">
        <x:v>1</x:v>
      </x:c>
      <x:c r="L361" s="13">
        <x:v>1</x:v>
      </x:c>
      <x:c r="M361" s="13">
        <x:v>1</x:v>
      </x:c>
      <x:c r="N361" s="13"/>
      <x:c r="O361" s="13"/>
      <x:c r="P361" s="13"/>
      <x:c r="Q361" s="13" t="n">
        <x:f>COUNT(E361:P361)</x:f>
        <x:v>9</x:v>
      </x:c>
      <x:c r="R361" s="13" t="n">
        <x:f>SUM(E361:P361)</x:f>
        <x:v>9</x:v>
      </x:c>
      <x:c r="S361" s="14" t="n">
        <x:f>IF(Q361&gt;0,R361/Q361,"")</x:f>
        <x:v>1</x:v>
      </x:c>
      <x:c r="T361" s="15"/>
      <x:c r="U361" s="15"/>
      <x:c r="V361" s="14"/>
      <x:c r="W361" s="14" t="str">
        <x:f>IF(AND(Q361&gt;0,S361&gt;0,V361&lt;&gt;""),V361/S361/Q361,"")</x:f>
      </x:c>
      <x:c r="X361" s="3" t="s">
        <x:v>1000</x:v>
      </x:c>
    </x:row>
    <x:row r="362">
      <x:c r="A362" s="12" t="s">
        <x:v>51</x:v>
      </x:c>
      <x:c r="B362" s="3" t="s">
        <x:v>52</x:v>
      </x:c>
      <x:c r="C362" s="4" t="s">
        <x:v>1001</x:v>
      </x:c>
      <x:c r="D362" s="5">
        <x:v>306</x:v>
      </x:c>
      <x:c r="E362" s="13"/>
      <x:c r="F362" s="13"/>
      <x:c r="G362" s="13"/>
      <x:c r="H362" s="13"/>
      <x:c r="I362" s="13"/>
      <x:c r="J362" s="13"/>
      <x:c r="K362" s="13"/>
      <x:c r="L362" s="13"/>
      <x:c r="M362" s="13"/>
      <x:c r="N362" s="13"/>
      <x:c r="O362" s="13"/>
      <x:c r="P362" s="13"/>
      <x:c r="Q362" s="13" t="n">
        <x:f>COUNT(E362:P362)</x:f>
        <x:v>0</x:v>
      </x:c>
      <x:c r="R362" s="13" t="n">
        <x:f>SUM(E362:P362)</x:f>
        <x:v>0</x:v>
      </x:c>
      <x:c r="S362" s="14" t="str">
        <x:f>IF(Q362&gt;0,R362/Q362,"")</x:f>
      </x:c>
      <x:c r="T362" s="15"/>
      <x:c r="U362" s="15"/>
      <x:c r="V362" s="14"/>
      <x:c r="W362" s="14" t="str">
        <x:f>IF(AND(Q362&gt;0,S362&gt;0,V362&lt;&gt;""),V362/S362/Q362,"")</x:f>
      </x:c>
      <x:c r="X362" s="3" t="s">
        <x:v>1002</x:v>
      </x:c>
    </x:row>
    <x:row r="363">
      <x:c r="A363" s="12" t="s">
        <x:v>695</x:v>
      </x:c>
      <x:c r="B363" s="3" t="s">
        <x:v>696</x:v>
      </x:c>
      <x:c r="C363" s="4" t="s">
        <x:v>1003</x:v>
      </x:c>
      <x:c r="D363" s="5">
        <x:v>306</x:v>
      </x:c>
      <x:c r="E363" s="13">
        <x:v>1</x:v>
      </x:c>
      <x:c r="F363" s="13">
        <x:v>1</x:v>
      </x:c>
      <x:c r="G363" s="13">
        <x:v>1</x:v>
      </x:c>
      <x:c r="H363" s="13"/>
      <x:c r="I363" s="13"/>
      <x:c r="J363" s="13"/>
      <x:c r="K363" s="13"/>
      <x:c r="L363" s="13"/>
      <x:c r="M363" s="13"/>
      <x:c r="N363" s="13"/>
      <x:c r="O363" s="13"/>
      <x:c r="P363" s="13"/>
      <x:c r="Q363" s="13" t="n">
        <x:f>COUNT(E363:P363)</x:f>
        <x:v>3</x:v>
      </x:c>
      <x:c r="R363" s="13" t="n">
        <x:f>SUM(E363:P363)</x:f>
        <x:v>3</x:v>
      </x:c>
      <x:c r="S363" s="14" t="n">
        <x:f>IF(Q363&gt;0,R363/Q363,"")</x:f>
        <x:v>1</x:v>
      </x:c>
      <x:c r="T363" s="15"/>
      <x:c r="U363" s="15"/>
      <x:c r="V363" s="14"/>
      <x:c r="W363" s="14" t="str">
        <x:f>IF(AND(Q363&gt;0,S363&gt;0,V363&lt;&gt;""),V363/S363/Q363,"")</x:f>
      </x:c>
      <x:c r="X363" s="3" t="s">
        <x:v>1004</x:v>
      </x:c>
    </x:row>
    <x:row r="364">
      <x:c r="A364" s="12" t="s">
        <x:v>51</x:v>
      </x:c>
      <x:c r="B364" s="3" t="s">
        <x:v>52</x:v>
      </x:c>
      <x:c r="C364" s="4" t="s">
        <x:v>1005</x:v>
      </x:c>
      <x:c r="D364" s="5">
        <x:v>306</x:v>
      </x:c>
      <x:c r="E364" s="13"/>
      <x:c r="F364" s="13"/>
      <x:c r="G364" s="13"/>
      <x:c r="H364" s="13"/>
      <x:c r="I364" s="13"/>
      <x:c r="J364" s="13"/>
      <x:c r="K364" s="13"/>
      <x:c r="L364" s="13"/>
      <x:c r="M364" s="13"/>
      <x:c r="N364" s="13"/>
      <x:c r="O364" s="13"/>
      <x:c r="P364" s="13"/>
      <x:c r="Q364" s="13" t="n">
        <x:f>COUNT(E364:P364)</x:f>
        <x:v>0</x:v>
      </x:c>
      <x:c r="R364" s="13" t="n">
        <x:f>SUM(E364:P364)</x:f>
        <x:v>0</x:v>
      </x:c>
      <x:c r="S364" s="14" t="str">
        <x:f>IF(Q364&gt;0,R364/Q364,"")</x:f>
      </x:c>
      <x:c r="T364" s="15">
        <x:v>0</x:v>
      </x:c>
      <x:c r="U364" s="15"/>
      <x:c r="V364" s="14"/>
      <x:c r="W364" s="14" t="str">
        <x:f>IF(AND(Q364&gt;0,S364&gt;0,V364&lt;&gt;""),V364/S364/Q364,"")</x:f>
      </x:c>
      <x:c r="X364" s="3" t="s">
        <x:v>1006</x:v>
      </x:c>
    </x:row>
    <x:row r="365">
      <x:c r="A365" s="12" t="s">
        <x:v>51</x:v>
      </x:c>
      <x:c r="B365" s="3" t="s">
        <x:v>52</x:v>
      </x:c>
      <x:c r="C365" s="4" t="s">
        <x:v>1007</x:v>
      </x:c>
      <x:c r="D365" s="5">
        <x:v>306</x:v>
      </x:c>
      <x:c r="E365" s="13"/>
      <x:c r="F365" s="13"/>
      <x:c r="G365" s="13"/>
      <x:c r="H365" s="13"/>
      <x:c r="I365" s="13"/>
      <x:c r="J365" s="13"/>
      <x:c r="K365" s="13"/>
      <x:c r="L365" s="13"/>
      <x:c r="M365" s="13"/>
      <x:c r="N365" s="13"/>
      <x:c r="O365" s="13"/>
      <x:c r="P365" s="13"/>
      <x:c r="Q365" s="13" t="n">
        <x:f>COUNT(E365:P365)</x:f>
        <x:v>0</x:v>
      </x:c>
      <x:c r="R365" s="13" t="n">
        <x:f>SUM(E365:P365)</x:f>
        <x:v>0</x:v>
      </x:c>
      <x:c r="S365" s="14" t="str">
        <x:f>IF(Q365&gt;0,R365/Q365,"")</x:f>
      </x:c>
      <x:c r="T365" s="15"/>
      <x:c r="U365" s="15"/>
      <x:c r="V365" s="14"/>
      <x:c r="W365" s="14" t="str">
        <x:f>IF(AND(Q365&gt;0,S365&gt;0,V365&lt;&gt;""),V365/S365/Q365,"")</x:f>
      </x:c>
      <x:c r="X365" s="3" t="s">
        <x:v>1008</x:v>
      </x:c>
    </x:row>
    <x:row r="366">
      <x:c r="A366" s="12" t="s">
        <x:v>51</x:v>
      </x:c>
      <x:c r="B366" s="3" t="s">
        <x:v>52</x:v>
      </x:c>
      <x:c r="C366" s="4" t="s">
        <x:v>1009</x:v>
      </x:c>
      <x:c r="D366" s="5">
        <x:v>306</x:v>
      </x:c>
      <x:c r="E366" s="13"/>
      <x:c r="F366" s="13"/>
      <x:c r="G366" s="13"/>
      <x:c r="H366" s="13"/>
      <x:c r="I366" s="13"/>
      <x:c r="J366" s="13"/>
      <x:c r="K366" s="13"/>
      <x:c r="L366" s="13"/>
      <x:c r="M366" s="13"/>
      <x:c r="N366" s="13"/>
      <x:c r="O366" s="13"/>
      <x:c r="P366" s="13"/>
      <x:c r="Q366" s="13" t="n">
        <x:f>COUNT(E366:P366)</x:f>
        <x:v>0</x:v>
      </x:c>
      <x:c r="R366" s="13" t="n">
        <x:f>SUM(E366:P366)</x:f>
        <x:v>0</x:v>
      </x:c>
      <x:c r="S366" s="14" t="str">
        <x:f>IF(Q366&gt;0,R366/Q366,"")</x:f>
      </x:c>
      <x:c r="T366" s="15"/>
      <x:c r="U366" s="15"/>
      <x:c r="V366" s="14"/>
      <x:c r="W366" s="14" t="str">
        <x:f>IF(AND(Q366&gt;0,S366&gt;0,V366&lt;&gt;""),V366/S366/Q366,"")</x:f>
      </x:c>
      <x:c r="X366" s="3" t="s">
        <x:v>1010</x:v>
      </x:c>
    </x:row>
    <x:row r="367">
      <x:c r="A367" s="12" t="s">
        <x:v>51</x:v>
      </x:c>
      <x:c r="B367" s="3" t="s">
        <x:v>52</x:v>
      </x:c>
      <x:c r="C367" s="4" t="s">
        <x:v>1011</x:v>
      </x:c>
      <x:c r="D367" s="5">
        <x:v>306</x:v>
      </x:c>
      <x:c r="E367" s="13"/>
      <x:c r="F367" s="13"/>
      <x:c r="G367" s="13"/>
      <x:c r="H367" s="13"/>
      <x:c r="I367" s="13"/>
      <x:c r="J367" s="13"/>
      <x:c r="K367" s="13"/>
      <x:c r="L367" s="13"/>
      <x:c r="M367" s="13"/>
      <x:c r="N367" s="13"/>
      <x:c r="O367" s="13"/>
      <x:c r="P367" s="13"/>
      <x:c r="Q367" s="13" t="n">
        <x:f>COUNT(E367:P367)</x:f>
        <x:v>0</x:v>
      </x:c>
      <x:c r="R367" s="13" t="n">
        <x:f>SUM(E367:P367)</x:f>
        <x:v>0</x:v>
      </x:c>
      <x:c r="S367" s="14" t="str">
        <x:f>IF(Q367&gt;0,R367/Q367,"")</x:f>
      </x:c>
      <x:c r="T367" s="15"/>
      <x:c r="U367" s="15"/>
      <x:c r="V367" s="14"/>
      <x:c r="W367" s="14" t="str">
        <x:f>IF(AND(Q367&gt;0,S367&gt;0,V367&lt;&gt;""),V367/S367/Q367,"")</x:f>
      </x:c>
      <x:c r="X367" s="3" t="s">
        <x:v>1012</x:v>
      </x:c>
    </x:row>
    <x:row r="368">
      <x:c r="A368" s="12" t="s">
        <x:v>1013</x:v>
      </x:c>
      <x:c r="B368" s="3" t="s">
        <x:v>1014</x:v>
      </x:c>
      <x:c r="C368" s="4" t="s">
        <x:v>1015</x:v>
      </x:c>
      <x:c r="D368" s="5">
        <x:v>306</x:v>
      </x:c>
      <x:c r="E368" s="13">
        <x:v>1</x:v>
      </x:c>
      <x:c r="F368" s="13">
        <x:v>1</x:v>
      </x:c>
      <x:c r="G368" s="13">
        <x:v>1</x:v>
      </x:c>
      <x:c r="H368" s="13">
        <x:v>1</x:v>
      </x:c>
      <x:c r="I368" s="13">
        <x:v>1</x:v>
      </x:c>
      <x:c r="J368" s="13">
        <x:v>1</x:v>
      </x:c>
      <x:c r="K368" s="13">
        <x:v>1</x:v>
      </x:c>
      <x:c r="L368" s="13">
        <x:v>1</x:v>
      </x:c>
      <x:c r="M368" s="13">
        <x:v>1</x:v>
      </x:c>
      <x:c r="N368" s="13">
        <x:v>1</x:v>
      </x:c>
      <x:c r="O368" s="13">
        <x:v>1</x:v>
      </x:c>
      <x:c r="P368" s="13">
        <x:v>1</x:v>
      </x:c>
      <x:c r="Q368" s="13" t="n">
        <x:f>COUNT(E368:P368)</x:f>
        <x:v>12</x:v>
      </x:c>
      <x:c r="R368" s="13" t="n">
        <x:f>SUM(E368:P368)</x:f>
        <x:v>12</x:v>
      </x:c>
      <x:c r="S368" s="14" t="n">
        <x:f>IF(Q368&gt;0,R368/Q368,"")</x:f>
        <x:v>1</x:v>
      </x:c>
      <x:c r="T368" s="15"/>
      <x:c r="U368" s="15"/>
      <x:c r="V368" s="14"/>
      <x:c r="W368" s="14" t="str">
        <x:f>IF(AND(Q368&gt;0,S368&gt;0,V368&lt;&gt;""),V368/S368/Q368,"")</x:f>
      </x:c>
      <x:c r="X368" s="3" t="s">
        <x:v>1016</x:v>
      </x:c>
    </x:row>
    <x:row r="369">
      <x:c r="A369" s="12" t="s">
        <x:v>316</x:v>
      </x:c>
      <x:c r="B369" s="3" t="s">
        <x:v>317</x:v>
      </x:c>
      <x:c r="C369" s="4" t="s">
        <x:v>1017</x:v>
      </x:c>
      <x:c r="D369" s="5">
        <x:v>306</x:v>
      </x:c>
      <x:c r="E369" s="13">
        <x:v>7</x:v>
      </x:c>
      <x:c r="F369" s="13">
        <x:v>7</x:v>
      </x:c>
      <x:c r="G369" s="13">
        <x:v>7</x:v>
      </x:c>
      <x:c r="H369" s="13">
        <x:v>6</x:v>
      </x:c>
      <x:c r="I369" s="13">
        <x:v>6</x:v>
      </x:c>
      <x:c r="J369" s="13">
        <x:v>6</x:v>
      </x:c>
      <x:c r="K369" s="13">
        <x:v>6</x:v>
      </x:c>
      <x:c r="L369" s="13">
        <x:v>6</x:v>
      </x:c>
      <x:c r="M369" s="13">
        <x:v>6</x:v>
      </x:c>
      <x:c r="N369" s="13">
        <x:v>6</x:v>
      </x:c>
      <x:c r="O369" s="13">
        <x:v>6</x:v>
      </x:c>
      <x:c r="P369" s="13">
        <x:v>6</x:v>
      </x:c>
      <x:c r="Q369" s="13" t="n">
        <x:f>COUNT(E369:P369)</x:f>
        <x:v>12</x:v>
      </x:c>
      <x:c r="R369" s="13" t="n">
        <x:f>SUM(E369:P369)</x:f>
        <x:v>75</x:v>
      </x:c>
      <x:c r="S369" s="14" t="n">
        <x:f>IF(Q369&gt;0,R369/Q369,"")</x:f>
        <x:v>6.25</x:v>
      </x:c>
      <x:c r="T369" s="15">
        <x:v>281808</x:v>
      </x:c>
      <x:c r="U369" s="15">
        <x:v>0</x:v>
      </x:c>
      <x:c r="V369" s="14"/>
      <x:c r="W369" s="14" t="str">
        <x:f>IF(AND(Q369&gt;0,S369&gt;0,V369&lt;&gt;""),V369/S369/Q369,"")</x:f>
      </x:c>
      <x:c r="X369" s="3" t="s">
        <x:v>1018</x:v>
      </x:c>
    </x:row>
    <x:row r="370">
      <x:c r="A370" s="12" t="s">
        <x:v>71</x:v>
      </x:c>
      <x:c r="B370" s="3" t="s">
        <x:v>72</x:v>
      </x:c>
      <x:c r="C370" s="4" t="s">
        <x:v>1019</x:v>
      </x:c>
      <x:c r="D370" s="5">
        <x:v>306</x:v>
      </x:c>
      <x:c r="E370" s="13"/>
      <x:c r="F370" s="13"/>
      <x:c r="G370" s="13"/>
      <x:c r="H370" s="13"/>
      <x:c r="I370" s="13"/>
      <x:c r="J370" s="13"/>
      <x:c r="K370" s="13"/>
      <x:c r="L370" s="13"/>
      <x:c r="M370" s="13"/>
      <x:c r="N370" s="13"/>
      <x:c r="O370" s="13"/>
      <x:c r="P370" s="13"/>
      <x:c r="Q370" s="13" t="n">
        <x:f>COUNT(E370:P370)</x:f>
        <x:v>0</x:v>
      </x:c>
      <x:c r="R370" s="13" t="n">
        <x:f>SUM(E370:P370)</x:f>
        <x:v>0</x:v>
      </x:c>
      <x:c r="S370" s="14" t="str">
        <x:f>IF(Q370&gt;0,R370/Q370,"")</x:f>
      </x:c>
      <x:c r="T370" s="15"/>
      <x:c r="U370" s="15"/>
      <x:c r="V370" s="14"/>
      <x:c r="W370" s="14" t="str">
        <x:f>IF(AND(Q370&gt;0,S370&gt;0,V370&lt;&gt;""),V370/S370/Q370,"")</x:f>
      </x:c>
      <x:c r="X370" s="3" t="s">
        <x:v>1020</x:v>
      </x:c>
    </x:row>
    <x:row r="371">
      <x:c r="A371" s="12" t="s">
        <x:v>985</x:v>
      </x:c>
      <x:c r="B371" s="3" t="s">
        <x:v>986</x:v>
      </x:c>
      <x:c r="C371" s="4" t="s">
        <x:v>1021</x:v>
      </x:c>
      <x:c r="D371" s="5">
        <x:v>306</x:v>
      </x:c>
      <x:c r="E371" s="13"/>
      <x:c r="F371" s="13"/>
      <x:c r="G371" s="13"/>
      <x:c r="H371" s="13"/>
      <x:c r="I371" s="13"/>
      <x:c r="J371" s="13"/>
      <x:c r="K371" s="13"/>
      <x:c r="L371" s="13"/>
      <x:c r="M371" s="13"/>
      <x:c r="N371" s="13"/>
      <x:c r="O371" s="13"/>
      <x:c r="P371" s="13"/>
      <x:c r="Q371" s="13" t="n">
        <x:f>COUNT(E371:P371)</x:f>
        <x:v>0</x:v>
      </x:c>
      <x:c r="R371" s="13" t="n">
        <x:f>SUM(E371:P371)</x:f>
        <x:v>0</x:v>
      </x:c>
      <x:c r="S371" s="14" t="str">
        <x:f>IF(Q371&gt;0,R371/Q371,"")</x:f>
      </x:c>
      <x:c r="T371" s="15"/>
      <x:c r="U371" s="15"/>
      <x:c r="V371" s="14"/>
      <x:c r="W371" s="14" t="str">
        <x:f>IF(AND(Q371&gt;0,S371&gt;0,V371&lt;&gt;""),V371/S371/Q371,"")</x:f>
      </x:c>
      <x:c r="X371" s="3" t="s">
        <x:v>1022</x:v>
      </x:c>
    </x:row>
    <x:row r="372">
      <x:c r="A372" s="12" t="s">
        <x:v>19</x:v>
      </x:c>
      <x:c r="B372" s="3" t="s">
        <x:v>20</x:v>
      </x:c>
      <x:c r="C372" s="4" t="s">
        <x:v>1023</x:v>
      </x:c>
      <x:c r="D372" s="5">
        <x:v>306</x:v>
      </x:c>
      <x:c r="E372" s="13"/>
      <x:c r="F372" s="13"/>
      <x:c r="G372" s="13"/>
      <x:c r="H372" s="13"/>
      <x:c r="I372" s="13"/>
      <x:c r="J372" s="13"/>
      <x:c r="K372" s="13"/>
      <x:c r="L372" s="13"/>
      <x:c r="M372" s="13"/>
      <x:c r="N372" s="13"/>
      <x:c r="O372" s="13"/>
      <x:c r="P372" s="13"/>
      <x:c r="Q372" s="13" t="n">
        <x:f>COUNT(E372:P372)</x:f>
        <x:v>0</x:v>
      </x:c>
      <x:c r="R372" s="13" t="n">
        <x:f>SUM(E372:P372)</x:f>
        <x:v>0</x:v>
      </x:c>
      <x:c r="S372" s="14" t="str">
        <x:f>IF(Q372&gt;0,R372/Q372,"")</x:f>
      </x:c>
      <x:c r="T372" s="15"/>
      <x:c r="U372" s="15"/>
      <x:c r="V372" s="14"/>
      <x:c r="W372" s="14" t="str">
        <x:f>IF(AND(Q372&gt;0,S372&gt;0,V372&lt;&gt;""),V372/S372/Q372,"")</x:f>
      </x:c>
      <x:c r="X372" s="3" t="s">
        <x:v>1024</x:v>
      </x:c>
    </x:row>
    <x:row r="373">
      <x:c r="A373" s="12" t="s">
        <x:v>1025</x:v>
      </x:c>
      <x:c r="B373" s="3" t="s">
        <x:v>1026</x:v>
      </x:c>
      <x:c r="C373" s="4" t="s">
        <x:v>1027</x:v>
      </x:c>
      <x:c r="D373" s="5">
        <x:v>306</x:v>
      </x:c>
      <x:c r="E373" s="13"/>
      <x:c r="F373" s="13"/>
      <x:c r="G373" s="13"/>
      <x:c r="H373" s="13"/>
      <x:c r="I373" s="13"/>
      <x:c r="J373" s="13"/>
      <x:c r="K373" s="13"/>
      <x:c r="L373" s="13"/>
      <x:c r="M373" s="13"/>
      <x:c r="N373" s="13"/>
      <x:c r="O373" s="13"/>
      <x:c r="P373" s="13"/>
      <x:c r="Q373" s="13" t="n">
        <x:f>COUNT(E373:P373)</x:f>
        <x:v>0</x:v>
      </x:c>
      <x:c r="R373" s="13" t="n">
        <x:f>SUM(E373:P373)</x:f>
        <x:v>0</x:v>
      </x:c>
      <x:c r="S373" s="14" t="str">
        <x:f>IF(Q373&gt;0,R373/Q373,"")</x:f>
      </x:c>
      <x:c r="T373" s="15"/>
      <x:c r="U373" s="15"/>
      <x:c r="V373" s="14"/>
      <x:c r="W373" s="14" t="str">
        <x:f>IF(AND(Q373&gt;0,S373&gt;0,V373&lt;&gt;""),V373/S373/Q373,"")</x:f>
      </x:c>
      <x:c r="X373" s="3" t="s">
        <x:v>1028</x:v>
      </x:c>
    </x:row>
    <x:row r="374">
      <x:c r="A374" s="12" t="s">
        <x:v>1029</x:v>
      </x:c>
      <x:c r="B374" s="3" t="s">
        <x:v>1030</x:v>
      </x:c>
      <x:c r="C374" s="4" t="s">
        <x:v>1031</x:v>
      </x:c>
      <x:c r="D374" s="5">
        <x:v>306</x:v>
      </x:c>
      <x:c r="E374" s="13"/>
      <x:c r="F374" s="13"/>
      <x:c r="G374" s="13"/>
      <x:c r="H374" s="13"/>
      <x:c r="I374" s="13"/>
      <x:c r="J374" s="13"/>
      <x:c r="K374" s="13"/>
      <x:c r="L374" s="13"/>
      <x:c r="M374" s="13"/>
      <x:c r="N374" s="13"/>
      <x:c r="O374" s="13"/>
      <x:c r="P374" s="13"/>
      <x:c r="Q374" s="13" t="n">
        <x:f>COUNT(E374:P374)</x:f>
        <x:v>0</x:v>
      </x:c>
      <x:c r="R374" s="13" t="n">
        <x:f>SUM(E374:P374)</x:f>
        <x:v>0</x:v>
      </x:c>
      <x:c r="S374" s="14" t="str">
        <x:f>IF(Q374&gt;0,R374/Q374,"")</x:f>
      </x:c>
      <x:c r="T374" s="15"/>
      <x:c r="U374" s="15"/>
      <x:c r="V374" s="14"/>
      <x:c r="W374" s="14" t="str">
        <x:f>IF(AND(Q374&gt;0,S374&gt;0,V374&lt;&gt;""),V374/S374/Q374,"")</x:f>
      </x:c>
      <x:c r="X374" s="3" t="s">
        <x:v>1032</x:v>
      </x:c>
    </x:row>
    <x:row r="375">
      <x:c r="A375" s="12" t="s">
        <x:v>985</x:v>
      </x:c>
      <x:c r="B375" s="3" t="s">
        <x:v>1033</x:v>
      </x:c>
      <x:c r="C375" s="4" t="s">
        <x:v>1034</x:v>
      </x:c>
      <x:c r="D375" s="5">
        <x:v>306</x:v>
      </x:c>
      <x:c r="E375" s="13"/>
      <x:c r="F375" s="13"/>
      <x:c r="G375" s="13"/>
      <x:c r="H375" s="13"/>
      <x:c r="I375" s="13"/>
      <x:c r="J375" s="13"/>
      <x:c r="K375" s="13"/>
      <x:c r="L375" s="13"/>
      <x:c r="M375" s="13"/>
      <x:c r="N375" s="13"/>
      <x:c r="O375" s="13"/>
      <x:c r="P375" s="13"/>
      <x:c r="Q375" s="13" t="n">
        <x:f>COUNT(E375:P375)</x:f>
        <x:v>0</x:v>
      </x:c>
      <x:c r="R375" s="13" t="n">
        <x:f>SUM(E375:P375)</x:f>
        <x:v>0</x:v>
      </x:c>
      <x:c r="S375" s="14" t="str">
        <x:f>IF(Q375&gt;0,R375/Q375,"")</x:f>
      </x:c>
      <x:c r="T375" s="15"/>
      <x:c r="U375" s="15"/>
      <x:c r="V375" s="14"/>
      <x:c r="W375" s="14" t="str">
        <x:f>IF(AND(Q375&gt;0,S375&gt;0,V375&lt;&gt;""),V375/S375/Q375,"")</x:f>
      </x:c>
      <x:c r="X375" s="3" t="s">
        <x:v>1035</x:v>
      </x:c>
    </x:row>
    <x:row r="376">
      <x:c r="A376" s="12" t="s">
        <x:v>360</x:v>
      </x:c>
      <x:c r="B376" s="3" t="s">
        <x:v>361</x:v>
      </x:c>
      <x:c r="C376" s="4" t="s">
        <x:v>1036</x:v>
      </x:c>
      <x:c r="D376" s="5">
        <x:v>306</x:v>
      </x:c>
      <x:c r="E376" s="13"/>
      <x:c r="F376" s="13"/>
      <x:c r="G376" s="13"/>
      <x:c r="H376" s="13"/>
      <x:c r="I376" s="13"/>
      <x:c r="J376" s="13"/>
      <x:c r="K376" s="13"/>
      <x:c r="L376" s="13"/>
      <x:c r="M376" s="13"/>
      <x:c r="N376" s="13"/>
      <x:c r="O376" s="13"/>
      <x:c r="P376" s="13"/>
      <x:c r="Q376" s="13" t="n">
        <x:f>COUNT(E376:P376)</x:f>
        <x:v>0</x:v>
      </x:c>
      <x:c r="R376" s="13" t="n">
        <x:f>SUM(E376:P376)</x:f>
        <x:v>0</x:v>
      </x:c>
      <x:c r="S376" s="14" t="str">
        <x:f>IF(Q376&gt;0,R376/Q376,"")</x:f>
      </x:c>
      <x:c r="T376" s="15"/>
      <x:c r="U376" s="15"/>
      <x:c r="V376" s="14"/>
      <x:c r="W376" s="14" t="str">
        <x:f>IF(AND(Q376&gt;0,S376&gt;0,V376&lt;&gt;""),V376/S376/Q376,"")</x:f>
      </x:c>
      <x:c r="X376" s="3" t="s">
        <x:v>1037</x:v>
      </x:c>
    </x:row>
    <x:row r="377">
      <x:c r="A377" s="12" t="s">
        <x:v>1038</x:v>
      </x:c>
      <x:c r="B377" s="3" t="s">
        <x:v>1039</x:v>
      </x:c>
      <x:c r="C377" s="4" t="s">
        <x:v>1040</x:v>
      </x:c>
      <x:c r="D377" s="5">
        <x:v>306</x:v>
      </x:c>
      <x:c r="E377" s="13"/>
      <x:c r="F377" s="13"/>
      <x:c r="G377" s="13"/>
      <x:c r="H377" s="13"/>
      <x:c r="I377" s="13"/>
      <x:c r="J377" s="13"/>
      <x:c r="K377" s="13"/>
      <x:c r="L377" s="13"/>
      <x:c r="M377" s="13"/>
      <x:c r="N377" s="13"/>
      <x:c r="O377" s="13"/>
      <x:c r="P377" s="13"/>
      <x:c r="Q377" s="13" t="n">
        <x:f>COUNT(E377:P377)</x:f>
        <x:v>0</x:v>
      </x:c>
      <x:c r="R377" s="13" t="n">
        <x:f>SUM(E377:P377)</x:f>
        <x:v>0</x:v>
      </x:c>
      <x:c r="S377" s="14" t="str">
        <x:f>IF(Q377&gt;0,R377/Q377,"")</x:f>
      </x:c>
      <x:c r="T377" s="15"/>
      <x:c r="U377" s="15"/>
      <x:c r="V377" s="14"/>
      <x:c r="W377" s="14" t="str">
        <x:f>IF(AND(Q377&gt;0,S377&gt;0,V377&lt;&gt;""),V377/S377/Q377,"")</x:f>
      </x:c>
      <x:c r="X377" s="3" t="s">
        <x:v>1041</x:v>
      </x:c>
    </x:row>
    <x:row r="378">
      <x:c r="A378" s="12" t="s">
        <x:v>51</x:v>
      </x:c>
      <x:c r="B378" s="3" t="s">
        <x:v>52</x:v>
      </x:c>
      <x:c r="C378" s="4" t="s">
        <x:v>1042</x:v>
      </x:c>
      <x:c r="D378" s="5">
        <x:v>306</x:v>
      </x:c>
      <x:c r="E378" s="13"/>
      <x:c r="F378" s="13"/>
      <x:c r="G378" s="13"/>
      <x:c r="H378" s="13"/>
      <x:c r="I378" s="13"/>
      <x:c r="J378" s="13"/>
      <x:c r="K378" s="13"/>
      <x:c r="L378" s="13"/>
      <x:c r="M378" s="13"/>
      <x:c r="N378" s="13"/>
      <x:c r="O378" s="13"/>
      <x:c r="P378" s="13"/>
      <x:c r="Q378" s="13" t="n">
        <x:f>COUNT(E378:P378)</x:f>
        <x:v>0</x:v>
      </x:c>
      <x:c r="R378" s="13" t="n">
        <x:f>SUM(E378:P378)</x:f>
        <x:v>0</x:v>
      </x:c>
      <x:c r="S378" s="14" t="str">
        <x:f>IF(Q378&gt;0,R378/Q378,"")</x:f>
      </x:c>
      <x:c r="T378" s="15"/>
      <x:c r="U378" s="15"/>
      <x:c r="V378" s="14"/>
      <x:c r="W378" s="14" t="str">
        <x:f>IF(AND(Q378&gt;0,S378&gt;0,V378&lt;&gt;""),V378/S378/Q378,"")</x:f>
      </x:c>
      <x:c r="X378" s="3" t="s">
        <x:v>1043</x:v>
      </x:c>
    </x:row>
    <x:row r="379">
      <x:c r="A379" s="12" t="s">
        <x:v>71</x:v>
      </x:c>
      <x:c r="B379" s="3" t="s">
        <x:v>72</x:v>
      </x:c>
      <x:c r="C379" s="4" t="s">
        <x:v>1044</x:v>
      </x:c>
      <x:c r="D379" s="5">
        <x:v>306</x:v>
      </x:c>
      <x:c r="E379" s="13"/>
      <x:c r="F379" s="13"/>
      <x:c r="G379" s="13"/>
      <x:c r="H379" s="13"/>
      <x:c r="I379" s="13"/>
      <x:c r="J379" s="13"/>
      <x:c r="K379" s="13"/>
      <x:c r="L379" s="13"/>
      <x:c r="M379" s="13"/>
      <x:c r="N379" s="13">
        <x:v>1</x:v>
      </x:c>
      <x:c r="O379" s="13">
        <x:v>1</x:v>
      </x:c>
      <x:c r="P379" s="13">
        <x:v>1</x:v>
      </x:c>
      <x:c r="Q379" s="13" t="n">
        <x:f>COUNT(E379:P379)</x:f>
        <x:v>3</x:v>
      </x:c>
      <x:c r="R379" s="13" t="n">
        <x:f>SUM(E379:P379)</x:f>
        <x:v>3</x:v>
      </x:c>
      <x:c r="S379" s="14" t="n">
        <x:f>IF(Q379&gt;0,R379/Q379,"")</x:f>
        <x:v>1</x:v>
      </x:c>
      <x:c r="T379" s="15"/>
      <x:c r="U379" s="15"/>
      <x:c r="V379" s="14"/>
      <x:c r="W379" s="14" t="str">
        <x:f>IF(AND(Q379&gt;0,S379&gt;0,V379&lt;&gt;""),V379/S379/Q379,"")</x:f>
      </x:c>
      <x:c r="X379" s="3" t="s">
        <x:v>1045</x:v>
      </x:c>
    </x:row>
    <x:row r="380">
      <x:c r="A380" s="12" t="s">
        <x:v>1013</x:v>
      </x:c>
      <x:c r="B380" s="3" t="s">
        <x:v>1014</x:v>
      </x:c>
      <x:c r="C380" s="4" t="s">
        <x:v>1046</x:v>
      </x:c>
      <x:c r="D380" s="5">
        <x:v>306</x:v>
      </x:c>
      <x:c r="E380" s="13"/>
      <x:c r="F380" s="13"/>
      <x:c r="G380" s="13"/>
      <x:c r="H380" s="13"/>
      <x:c r="I380" s="13"/>
      <x:c r="J380" s="13"/>
      <x:c r="K380" s="13"/>
      <x:c r="L380" s="13"/>
      <x:c r="M380" s="13"/>
      <x:c r="N380" s="13">
        <x:v>1</x:v>
      </x:c>
      <x:c r="O380" s="13">
        <x:v>1</x:v>
      </x:c>
      <x:c r="P380" s="13">
        <x:v>1</x:v>
      </x:c>
      <x:c r="Q380" s="13" t="n">
        <x:f>COUNT(E380:P380)</x:f>
        <x:v>3</x:v>
      </x:c>
      <x:c r="R380" s="13" t="n">
        <x:f>SUM(E380:P380)</x:f>
        <x:v>3</x:v>
      </x:c>
      <x:c r="S380" s="14" t="n">
        <x:f>IF(Q380&gt;0,R380/Q380,"")</x:f>
        <x:v>1</x:v>
      </x:c>
      <x:c r="T380" s="15"/>
      <x:c r="U380" s="15"/>
      <x:c r="V380" s="14"/>
      <x:c r="W380" s="14" t="str">
        <x:f>IF(AND(Q380&gt;0,S380&gt;0,V380&lt;&gt;""),V380/S380/Q380,"")</x:f>
      </x:c>
      <x:c r="X380" s="3" t="s">
        <x:v>1047</x:v>
      </x:c>
    </x:row>
    <x:row r="381">
      <x:c r="A381" s="12" t="s">
        <x:v>1013</x:v>
      </x:c>
      <x:c r="B381" s="3" t="s">
        <x:v>1014</x:v>
      </x:c>
      <x:c r="C381" s="4" t="s">
        <x:v>1048</x:v>
      </x:c>
      <x:c r="D381" s="5">
        <x:v>306</x:v>
      </x:c>
      <x:c r="E381" s="13"/>
      <x:c r="F381" s="13"/>
      <x:c r="G381" s="13"/>
      <x:c r="H381" s="13"/>
      <x:c r="I381" s="13"/>
      <x:c r="J381" s="13"/>
      <x:c r="K381" s="13"/>
      <x:c r="L381" s="13"/>
      <x:c r="M381" s="13"/>
      <x:c r="N381" s="13"/>
      <x:c r="O381" s="13"/>
      <x:c r="P381" s="13"/>
      <x:c r="Q381" s="13" t="n">
        <x:f>COUNT(E381:P381)</x:f>
        <x:v>0</x:v>
      </x:c>
      <x:c r="R381" s="13" t="n">
        <x:f>SUM(E381:P381)</x:f>
        <x:v>0</x:v>
      </x:c>
      <x:c r="S381" s="14" t="str">
        <x:f>IF(Q381&gt;0,R381/Q381,"")</x:f>
      </x:c>
      <x:c r="T381" s="15"/>
      <x:c r="U381" s="15"/>
      <x:c r="V381" s="14"/>
      <x:c r="W381" s="14" t="str">
        <x:f>IF(AND(Q381&gt;0,S381&gt;0,V381&lt;&gt;""),V381/S381/Q381,"")</x:f>
      </x:c>
      <x:c r="X381" s="3" t="s">
        <x:v>1049</x:v>
      </x:c>
    </x:row>
    <x:row r="382">
      <x:c r="A382" s="12" t="s">
        <x:v>1050</x:v>
      </x:c>
      <x:c r="B382" s="3" t="s">
        <x:v>1051</x:v>
      </x:c>
      <x:c r="C382" s="4" t="s">
        <x:v>1052</x:v>
      </x:c>
      <x:c r="D382" s="5">
        <x:v>306</x:v>
      </x:c>
      <x:c r="E382" s="13"/>
      <x:c r="F382" s="13"/>
      <x:c r="G382" s="13"/>
      <x:c r="H382" s="13"/>
      <x:c r="I382" s="13"/>
      <x:c r="J382" s="13"/>
      <x:c r="K382" s="13"/>
      <x:c r="L382" s="13"/>
      <x:c r="M382" s="13"/>
      <x:c r="N382" s="13"/>
      <x:c r="O382" s="13"/>
      <x:c r="P382" s="13"/>
      <x:c r="Q382" s="13" t="n">
        <x:f>COUNT(E382:P382)</x:f>
        <x:v>0</x:v>
      </x:c>
      <x:c r="R382" s="13" t="n">
        <x:f>SUM(E382:P382)</x:f>
        <x:v>0</x:v>
      </x:c>
      <x:c r="S382" s="14" t="str">
        <x:f>IF(Q382&gt;0,R382/Q382,"")</x:f>
      </x:c>
      <x:c r="T382" s="15"/>
      <x:c r="U382" s="15"/>
      <x:c r="V382" s="14"/>
      <x:c r="W382" s="14" t="str">
        <x:f>IF(AND(Q382&gt;0,S382&gt;0,V382&lt;&gt;""),V382/S382/Q382,"")</x:f>
      </x:c>
      <x:c r="X382" s="3" t="s">
        <x:v>1053</x:v>
      </x:c>
    </x:row>
    <x:row r="383">
      <x:c r="A383" s="12" t="s">
        <x:v>1050</x:v>
      </x:c>
      <x:c r="B383" s="3" t="s">
        <x:v>1051</x:v>
      </x:c>
      <x:c r="C383" s="4" t="s">
        <x:v>1054</x:v>
      </x:c>
      <x:c r="D383" s="5">
        <x:v>306</x:v>
      </x:c>
      <x:c r="E383" s="13"/>
      <x:c r="F383" s="13"/>
      <x:c r="G383" s="13"/>
      <x:c r="H383" s="13"/>
      <x:c r="I383" s="13"/>
      <x:c r="J383" s="13"/>
      <x:c r="K383" s="13"/>
      <x:c r="L383" s="13"/>
      <x:c r="M383" s="13"/>
      <x:c r="N383" s="13"/>
      <x:c r="O383" s="13"/>
      <x:c r="P383" s="13"/>
      <x:c r="Q383" s="13" t="n">
        <x:f>COUNT(E383:P383)</x:f>
        <x:v>0</x:v>
      </x:c>
      <x:c r="R383" s="13" t="n">
        <x:f>SUM(E383:P383)</x:f>
        <x:v>0</x:v>
      </x:c>
      <x:c r="S383" s="14" t="str">
        <x:f>IF(Q383&gt;0,R383/Q383,"")</x:f>
      </x:c>
      <x:c r="T383" s="15"/>
      <x:c r="U383" s="15"/>
      <x:c r="V383" s="14"/>
      <x:c r="W383" s="14" t="str">
        <x:f>IF(AND(Q383&gt;0,S383&gt;0,V383&lt;&gt;""),V383/S383/Q383,"")</x:f>
      </x:c>
      <x:c r="X383" s="3" t="s">
        <x:v>1055</x:v>
      </x:c>
    </x:row>
    <x:row r="384">
      <x:c r="A384" s="12" t="s">
        <x:v>71</x:v>
      </x:c>
      <x:c r="B384" s="3" t="s">
        <x:v>72</x:v>
      </x:c>
      <x:c r="C384" s="4" t="s">
        <x:v>1056</x:v>
      </x:c>
      <x:c r="D384" s="5">
        <x:v>306</x:v>
      </x:c>
      <x:c r="E384" s="13"/>
      <x:c r="F384" s="13"/>
      <x:c r="G384" s="13"/>
      <x:c r="H384" s="13"/>
      <x:c r="I384" s="13"/>
      <x:c r="J384" s="13"/>
      <x:c r="K384" s="13"/>
      <x:c r="L384" s="13"/>
      <x:c r="M384" s="13"/>
      <x:c r="N384" s="13"/>
      <x:c r="O384" s="13"/>
      <x:c r="P384" s="13"/>
      <x:c r="Q384" s="13" t="n">
        <x:f>COUNT(E384:P384)</x:f>
        <x:v>0</x:v>
      </x:c>
      <x:c r="R384" s="13" t="n">
        <x:f>SUM(E384:P384)</x:f>
        <x:v>0</x:v>
      </x:c>
      <x:c r="S384" s="14" t="str">
        <x:f>IF(Q384&gt;0,R384/Q384,"")</x:f>
      </x:c>
      <x:c r="T384" s="15"/>
      <x:c r="U384" s="15"/>
      <x:c r="V384" s="14"/>
      <x:c r="W384" s="14" t="str">
        <x:f>IF(AND(Q384&gt;0,S384&gt;0,V384&lt;&gt;""),V384/S384/Q384,"")</x:f>
      </x:c>
      <x:c r="X384" s="3" t="s">
        <x:v>1057</x:v>
      </x:c>
    </x:row>
    <x:row r="385">
      <x:c r="A385" s="12" t="s">
        <x:v>1058</x:v>
      </x:c>
      <x:c r="B385" s="3" t="s">
        <x:v>1059</x:v>
      </x:c>
      <x:c r="C385" s="4" t="s">
        <x:v>1060</x:v>
      </x:c>
      <x:c r="D385" s="5">
        <x:v>306</x:v>
      </x:c>
      <x:c r="E385" s="13"/>
      <x:c r="F385" s="13"/>
      <x:c r="G385" s="13"/>
      <x:c r="H385" s="13"/>
      <x:c r="I385" s="13"/>
      <x:c r="J385" s="13"/>
      <x:c r="K385" s="13">
        <x:v>1</x:v>
      </x:c>
      <x:c r="L385" s="13">
        <x:v>1</x:v>
      </x:c>
      <x:c r="M385" s="13">
        <x:v>1</x:v>
      </x:c>
      <x:c r="N385" s="13">
        <x:v>1</x:v>
      </x:c>
      <x:c r="O385" s="13">
        <x:v>1</x:v>
      </x:c>
      <x:c r="P385" s="13">
        <x:v>1</x:v>
      </x:c>
      <x:c r="Q385" s="13" t="n">
        <x:f>COUNT(E385:P385)</x:f>
        <x:v>6</x:v>
      </x:c>
      <x:c r="R385" s="13" t="n">
        <x:f>SUM(E385:P385)</x:f>
        <x:v>6</x:v>
      </x:c>
      <x:c r="S385" s="14" t="n">
        <x:f>IF(Q385&gt;0,R385/Q385,"")</x:f>
        <x:v>1</x:v>
      </x:c>
      <x:c r="T385" s="15"/>
      <x:c r="U385" s="15"/>
      <x:c r="V385" s="14"/>
      <x:c r="W385" s="14" t="str">
        <x:f>IF(AND(Q385&gt;0,S385&gt;0,V385&lt;&gt;""),V385/S385/Q385,"")</x:f>
      </x:c>
      <x:c r="X385" s="3" t="s">
        <x:v>1061</x:v>
      </x:c>
    </x:row>
    <x:row r="386">
      <x:c r="A386" s="12" t="s">
        <x:v>877</x:v>
      </x:c>
      <x:c r="B386" s="3" t="s">
        <x:v>1062</x:v>
      </x:c>
      <x:c r="C386" s="4" t="s">
        <x:v>1063</x:v>
      </x:c>
      <x:c r="D386" s="5">
        <x:v>306</x:v>
      </x:c>
      <x:c r="E386" s="13"/>
      <x:c r="F386" s="13"/>
      <x:c r="G386" s="13"/>
      <x:c r="H386" s="13"/>
      <x:c r="I386" s="13"/>
      <x:c r="J386" s="13"/>
      <x:c r="K386" s="13"/>
      <x:c r="L386" s="13"/>
      <x:c r="M386" s="13"/>
      <x:c r="N386" s="13"/>
      <x:c r="O386" s="13"/>
      <x:c r="P386" s="13"/>
      <x:c r="Q386" s="13" t="n">
        <x:f>COUNT(E386:P386)</x:f>
        <x:v>0</x:v>
      </x:c>
      <x:c r="R386" s="13" t="n">
        <x:f>SUM(E386:P386)</x:f>
        <x:v>0</x:v>
      </x:c>
      <x:c r="S386" s="14" t="str">
        <x:f>IF(Q386&gt;0,R386/Q386,"")</x:f>
      </x:c>
      <x:c r="T386" s="15"/>
      <x:c r="U386" s="15"/>
      <x:c r="V386" s="14"/>
      <x:c r="W386" s="14" t="str">
        <x:f>IF(AND(Q386&gt;0,S386&gt;0,V386&lt;&gt;""),V386/S386/Q386,"")</x:f>
      </x:c>
      <x:c r="X386" s="3" t="s">
        <x:v>1064</x:v>
      </x:c>
    </x:row>
    <x:row r="387">
      <x:c r="A387" s="12" t="s">
        <x:v>1050</x:v>
      </x:c>
      <x:c r="B387" s="3" t="s">
        <x:v>1051</x:v>
      </x:c>
      <x:c r="C387" s="4" t="s">
        <x:v>1065</x:v>
      </x:c>
      <x:c r="D387" s="5">
        <x:v>306</x:v>
      </x:c>
      <x:c r="E387" s="13"/>
      <x:c r="F387" s="13"/>
      <x:c r="G387" s="13"/>
      <x:c r="H387" s="13"/>
      <x:c r="I387" s="13"/>
      <x:c r="J387" s="13"/>
      <x:c r="K387" s="13"/>
      <x:c r="L387" s="13"/>
      <x:c r="M387" s="13"/>
      <x:c r="N387" s="13"/>
      <x:c r="O387" s="13"/>
      <x:c r="P387" s="13"/>
      <x:c r="Q387" s="13" t="n">
        <x:f>COUNT(E387:P387)</x:f>
        <x:v>0</x:v>
      </x:c>
      <x:c r="R387" s="13" t="n">
        <x:f>SUM(E387:P387)</x:f>
        <x:v>0</x:v>
      </x:c>
      <x:c r="S387" s="14" t="str">
        <x:f>IF(Q387&gt;0,R387/Q387,"")</x:f>
      </x:c>
      <x:c r="T387" s="15"/>
      <x:c r="U387" s="15"/>
      <x:c r="V387" s="14"/>
      <x:c r="W387" s="14" t="str">
        <x:f>IF(AND(Q387&gt;0,S387&gt;0,V387&lt;&gt;""),V387/S387/Q387,"")</x:f>
      </x:c>
      <x:c r="X387" s="3" t="s">
        <x:v>1066</x:v>
      </x:c>
    </x:row>
    <x:row r="388">
      <x:c r="A388" s="12" t="s">
        <x:v>462</x:v>
      </x:c>
      <x:c r="B388" s="3" t="s">
        <x:v>570</x:v>
      </x:c>
      <x:c r="C388" s="4" t="s">
        <x:v>1067</x:v>
      </x:c>
      <x:c r="D388" s="5">
        <x:v>306</x:v>
      </x:c>
      <x:c r="E388" s="13"/>
      <x:c r="F388" s="13"/>
      <x:c r="G388" s="13"/>
      <x:c r="H388" s="13"/>
      <x:c r="I388" s="13"/>
      <x:c r="J388" s="13"/>
      <x:c r="K388" s="13"/>
      <x:c r="L388" s="13"/>
      <x:c r="M388" s="13"/>
      <x:c r="N388" s="13"/>
      <x:c r="O388" s="13"/>
      <x:c r="P388" s="13"/>
      <x:c r="Q388" s="13" t="n">
        <x:f>COUNT(E388:P388)</x:f>
        <x:v>0</x:v>
      </x:c>
      <x:c r="R388" s="13" t="n">
        <x:f>SUM(E388:P388)</x:f>
        <x:v>0</x:v>
      </x:c>
      <x:c r="S388" s="14" t="str">
        <x:f>IF(Q388&gt;0,R388/Q388,"")</x:f>
      </x:c>
      <x:c r="T388" s="15"/>
      <x:c r="U388" s="15"/>
      <x:c r="V388" s="14"/>
      <x:c r="W388" s="14" t="str">
        <x:f>IF(AND(Q388&gt;0,S388&gt;0,V388&lt;&gt;""),V388/S388/Q388,"")</x:f>
      </x:c>
      <x:c r="X388" s="3" t="s">
        <x:v>1068</x:v>
      </x:c>
    </x:row>
    <x:row r="389">
      <x:c r="A389" s="12" t="s">
        <x:v>1013</x:v>
      </x:c>
      <x:c r="B389" s="3" t="s">
        <x:v>1014</x:v>
      </x:c>
      <x:c r="C389" s="4" t="s">
        <x:v>1069</x:v>
      </x:c>
      <x:c r="D389" s="5">
        <x:v>306</x:v>
      </x:c>
      <x:c r="E389" s="13"/>
      <x:c r="F389" s="13"/>
      <x:c r="G389" s="13"/>
      <x:c r="H389" s="13">
        <x:v>1</x:v>
      </x:c>
      <x:c r="I389" s="13">
        <x:v>1</x:v>
      </x:c>
      <x:c r="J389" s="13">
        <x:v>1</x:v>
      </x:c>
      <x:c r="K389" s="13">
        <x:v>1</x:v>
      </x:c>
      <x:c r="L389" s="13">
        <x:v>1</x:v>
      </x:c>
      <x:c r="M389" s="13">
        <x:v>1</x:v>
      </x:c>
      <x:c r="N389" s="13">
        <x:v>1</x:v>
      </x:c>
      <x:c r="O389" s="13">
        <x:v>1</x:v>
      </x:c>
      <x:c r="P389" s="13">
        <x:v>1</x:v>
      </x:c>
      <x:c r="Q389" s="13" t="n">
        <x:f>COUNT(E389:P389)</x:f>
        <x:v>9</x:v>
      </x:c>
      <x:c r="R389" s="13" t="n">
        <x:f>SUM(E389:P389)</x:f>
        <x:v>9</x:v>
      </x:c>
      <x:c r="S389" s="14" t="n">
        <x:f>IF(Q389&gt;0,R389/Q389,"")</x:f>
        <x:v>1</x:v>
      </x:c>
      <x:c r="T389" s="15"/>
      <x:c r="U389" s="15"/>
      <x:c r="V389" s="14"/>
      <x:c r="W389" s="14" t="str">
        <x:f>IF(AND(Q389&gt;0,S389&gt;0,V389&lt;&gt;""),V389/S389/Q389,"")</x:f>
      </x:c>
      <x:c r="X389" s="3" t="s">
        <x:v>1070</x:v>
      </x:c>
    </x:row>
    <x:row r="390">
      <x:c r="A390" s="12" t="s">
        <x:v>1013</x:v>
      </x:c>
      <x:c r="B390" s="3" t="s">
        <x:v>1014</x:v>
      </x:c>
      <x:c r="C390" s="4" t="s">
        <x:v>1071</x:v>
      </x:c>
      <x:c r="D390" s="5">
        <x:v>306</x:v>
      </x:c>
      <x:c r="E390" s="13"/>
      <x:c r="F390" s="13"/>
      <x:c r="G390" s="13"/>
      <x:c r="H390" s="13"/>
      <x:c r="I390" s="13"/>
      <x:c r="J390" s="13"/>
      <x:c r="K390" s="13"/>
      <x:c r="L390" s="13"/>
      <x:c r="M390" s="13"/>
      <x:c r="N390" s="13"/>
      <x:c r="O390" s="13"/>
      <x:c r="P390" s="13"/>
      <x:c r="Q390" s="13" t="n">
        <x:f>COUNT(E390:P390)</x:f>
        <x:v>0</x:v>
      </x:c>
      <x:c r="R390" s="13" t="n">
        <x:f>SUM(E390:P390)</x:f>
        <x:v>0</x:v>
      </x:c>
      <x:c r="S390" s="14" t="str">
        <x:f>IF(Q390&gt;0,R390/Q390,"")</x:f>
      </x:c>
      <x:c r="T390" s="15"/>
      <x:c r="U390" s="15"/>
      <x:c r="V390" s="14"/>
      <x:c r="W390" s="14" t="str">
        <x:f>IF(AND(Q390&gt;0,S390&gt;0,V390&lt;&gt;""),V390/S390/Q390,"")</x:f>
      </x:c>
      <x:c r="X390" s="3" t="s">
        <x:v>1072</x:v>
      </x:c>
    </x:row>
    <x:row r="391">
      <x:c r="A391" s="12" t="s">
        <x:v>1013</x:v>
      </x:c>
      <x:c r="B391" s="3" t="s">
        <x:v>1014</x:v>
      </x:c>
      <x:c r="C391" s="4" t="s">
        <x:v>1073</x:v>
      </x:c>
      <x:c r="D391" s="5">
        <x:v>306</x:v>
      </x:c>
      <x:c r="E391" s="13"/>
      <x:c r="F391" s="13"/>
      <x:c r="G391" s="13"/>
      <x:c r="H391" s="13"/>
      <x:c r="I391" s="13"/>
      <x:c r="J391" s="13"/>
      <x:c r="K391" s="13"/>
      <x:c r="L391" s="13"/>
      <x:c r="M391" s="13"/>
      <x:c r="N391" s="13"/>
      <x:c r="O391" s="13"/>
      <x:c r="P391" s="13"/>
      <x:c r="Q391" s="13" t="n">
        <x:f>COUNT(E391:P391)</x:f>
        <x:v>0</x:v>
      </x:c>
      <x:c r="R391" s="13" t="n">
        <x:f>SUM(E391:P391)</x:f>
        <x:v>0</x:v>
      </x:c>
      <x:c r="S391" s="14" t="str">
        <x:f>IF(Q391&gt;0,R391/Q391,"")</x:f>
      </x:c>
      <x:c r="T391" s="15"/>
      <x:c r="U391" s="15"/>
      <x:c r="V391" s="14"/>
      <x:c r="W391" s="14" t="str">
        <x:f>IF(AND(Q391&gt;0,S391&gt;0,V391&lt;&gt;""),V391/S391/Q391,"")</x:f>
      </x:c>
      <x:c r="X391" s="3" t="s">
        <x:v>1074</x:v>
      </x:c>
    </x:row>
    <x:row r="392">
      <x:c r="A392" s="12" t="s">
        <x:v>1013</x:v>
      </x:c>
      <x:c r="B392" s="3" t="s">
        <x:v>1014</x:v>
      </x:c>
      <x:c r="C392" s="4" t="s">
        <x:v>1075</x:v>
      </x:c>
      <x:c r="D392" s="5">
        <x:v>306</x:v>
      </x:c>
      <x:c r="E392" s="13"/>
      <x:c r="F392" s="13"/>
      <x:c r="G392" s="13"/>
      <x:c r="H392" s="13">
        <x:v>1</x:v>
      </x:c>
      <x:c r="I392" s="13">
        <x:v>1</x:v>
      </x:c>
      <x:c r="J392" s="13">
        <x:v>1</x:v>
      </x:c>
      <x:c r="K392" s="13">
        <x:v>1</x:v>
      </x:c>
      <x:c r="L392" s="13">
        <x:v>1</x:v>
      </x:c>
      <x:c r="M392" s="13">
        <x:v>1</x:v>
      </x:c>
      <x:c r="N392" s="13">
        <x:v>1</x:v>
      </x:c>
      <x:c r="O392" s="13">
        <x:v>1</x:v>
      </x:c>
      <x:c r="P392" s="13">
        <x:v>1</x:v>
      </x:c>
      <x:c r="Q392" s="13" t="n">
        <x:f>COUNT(E392:P392)</x:f>
        <x:v>9</x:v>
      </x:c>
      <x:c r="R392" s="13" t="n">
        <x:f>SUM(E392:P392)</x:f>
        <x:v>9</x:v>
      </x:c>
      <x:c r="S392" s="14" t="n">
        <x:f>IF(Q392&gt;0,R392/Q392,"")</x:f>
        <x:v>1</x:v>
      </x:c>
      <x:c r="T392" s="15"/>
      <x:c r="U392" s="15"/>
      <x:c r="V392" s="14"/>
      <x:c r="W392" s="14" t="str">
        <x:f>IF(AND(Q392&gt;0,S392&gt;0,V392&lt;&gt;""),V392/S392/Q392,"")</x:f>
      </x:c>
      <x:c r="X392" s="3" t="s">
        <x:v>1076</x:v>
      </x:c>
    </x:row>
    <x:row r="393">
      <x:c r="A393" s="12" t="s">
        <x:v>695</x:v>
      </x:c>
      <x:c r="B393" s="3" t="s">
        <x:v>696</x:v>
      </x:c>
      <x:c r="C393" s="4" t="s">
        <x:v>1077</x:v>
      </x:c>
      <x:c r="D393" s="5">
        <x:v>306</x:v>
      </x:c>
      <x:c r="E393" s="13"/>
      <x:c r="F393" s="13"/>
      <x:c r="G393" s="13"/>
      <x:c r="H393" s="13"/>
      <x:c r="I393" s="13"/>
      <x:c r="J393" s="13"/>
      <x:c r="K393" s="13"/>
      <x:c r="L393" s="13"/>
      <x:c r="M393" s="13"/>
      <x:c r="N393" s="13"/>
      <x:c r="O393" s="13"/>
      <x:c r="P393" s="13"/>
      <x:c r="Q393" s="13" t="n">
        <x:f>COUNT(E393:P393)</x:f>
        <x:v>0</x:v>
      </x:c>
      <x:c r="R393" s="13" t="n">
        <x:f>SUM(E393:P393)</x:f>
        <x:v>0</x:v>
      </x:c>
      <x:c r="S393" s="14" t="str">
        <x:f>IF(Q393&gt;0,R393/Q393,"")</x:f>
      </x:c>
      <x:c r="T393" s="15"/>
      <x:c r="U393" s="15"/>
      <x:c r="V393" s="14"/>
      <x:c r="W393" s="14" t="str">
        <x:f>IF(AND(Q393&gt;0,S393&gt;0,V393&lt;&gt;""),V393/S393/Q393,"")</x:f>
      </x:c>
      <x:c r="X393" s="3" t="s">
        <x:v>1078</x:v>
      </x:c>
    </x:row>
    <x:row r="394">
      <x:c r="A394" s="12" t="s">
        <x:v>1013</x:v>
      </x:c>
      <x:c r="B394" s="3" t="s">
        <x:v>1014</x:v>
      </x:c>
      <x:c r="C394" s="4" t="s">
        <x:v>1079</x:v>
      </x:c>
      <x:c r="D394" s="5">
        <x:v>306</x:v>
      </x:c>
      <x:c r="E394" s="13"/>
      <x:c r="F394" s="13"/>
      <x:c r="G394" s="13"/>
      <x:c r="H394" s="13"/>
      <x:c r="I394" s="13"/>
      <x:c r="J394" s="13"/>
      <x:c r="K394" s="13"/>
      <x:c r="L394" s="13"/>
      <x:c r="M394" s="13"/>
      <x:c r="N394" s="13"/>
      <x:c r="O394" s="13"/>
      <x:c r="P394" s="13"/>
      <x:c r="Q394" s="13" t="n">
        <x:f>COUNT(E394:P394)</x:f>
        <x:v>0</x:v>
      </x:c>
      <x:c r="R394" s="13" t="n">
        <x:f>SUM(E394:P394)</x:f>
        <x:v>0</x:v>
      </x:c>
      <x:c r="S394" s="14" t="str">
        <x:f>IF(Q394&gt;0,R394/Q394,"")</x:f>
      </x:c>
      <x:c r="T394" s="15"/>
      <x:c r="U394" s="15"/>
      <x:c r="V394" s="14"/>
      <x:c r="W394" s="14" t="str">
        <x:f>IF(AND(Q394&gt;0,S394&gt;0,V394&lt;&gt;""),V394/S394/Q394,"")</x:f>
      </x:c>
      <x:c r="X394" s="3" t="s">
        <x:v>1080</x:v>
      </x:c>
    </x:row>
    <x:row r="395">
      <x:c r="A395" s="12" t="s">
        <x:v>1081</x:v>
      </x:c>
      <x:c r="B395" s="3" t="s">
        <x:v>1082</x:v>
      </x:c>
      <x:c r="C395" s="4" t="s">
        <x:v>1083</x:v>
      </x:c>
      <x:c r="D395" s="5">
        <x:v>306</x:v>
      </x:c>
      <x:c r="E395" s="13"/>
      <x:c r="F395" s="13"/>
      <x:c r="G395" s="13"/>
      <x:c r="H395" s="13"/>
      <x:c r="I395" s="13"/>
      <x:c r="J395" s="13"/>
      <x:c r="K395" s="13">
        <x:v>1</x:v>
      </x:c>
      <x:c r="L395" s="13">
        <x:v>1</x:v>
      </x:c>
      <x:c r="M395" s="13">
        <x:v>1</x:v>
      </x:c>
      <x:c r="N395" s="13"/>
      <x:c r="O395" s="13"/>
      <x:c r="P395" s="13"/>
      <x:c r="Q395" s="13" t="n">
        <x:f>COUNT(E395:P395)</x:f>
        <x:v>3</x:v>
      </x:c>
      <x:c r="R395" s="13" t="n">
        <x:f>SUM(E395:P395)</x:f>
        <x:v>3</x:v>
      </x:c>
      <x:c r="S395" s="14" t="n">
        <x:f>IF(Q395&gt;0,R395/Q395,"")</x:f>
        <x:v>1</x:v>
      </x:c>
      <x:c r="T395" s="15"/>
      <x:c r="U395" s="15"/>
      <x:c r="V395" s="14"/>
      <x:c r="W395" s="14" t="str">
        <x:f>IF(AND(Q395&gt;0,S395&gt;0,V395&lt;&gt;""),V395/S395/Q395,"")</x:f>
      </x:c>
      <x:c r="X395" s="3" t="s">
        <x:v>1084</x:v>
      </x:c>
    </x:row>
    <x:row r="396">
      <x:c r="A396" s="12" t="s">
        <x:v>1013</x:v>
      </x:c>
      <x:c r="B396" s="3" t="s">
        <x:v>1014</x:v>
      </x:c>
      <x:c r="C396" s="4" t="s">
        <x:v>1085</x:v>
      </x:c>
      <x:c r="D396" s="5">
        <x:v>306</x:v>
      </x:c>
      <x:c r="E396" s="13"/>
      <x:c r="F396" s="13"/>
      <x:c r="G396" s="13"/>
      <x:c r="H396" s="13"/>
      <x:c r="I396" s="13"/>
      <x:c r="J396" s="13"/>
      <x:c r="K396" s="13"/>
      <x:c r="L396" s="13"/>
      <x:c r="M396" s="13"/>
      <x:c r="N396" s="13"/>
      <x:c r="O396" s="13"/>
      <x:c r="P396" s="13"/>
      <x:c r="Q396" s="13" t="n">
        <x:f>COUNT(E396:P396)</x:f>
        <x:v>0</x:v>
      </x:c>
      <x:c r="R396" s="13" t="n">
        <x:f>SUM(E396:P396)</x:f>
        <x:v>0</x:v>
      </x:c>
      <x:c r="S396" s="14" t="str">
        <x:f>IF(Q396&gt;0,R396/Q396,"")</x:f>
      </x:c>
      <x:c r="T396" s="15"/>
      <x:c r="U396" s="15"/>
      <x:c r="V396" s="14"/>
      <x:c r="W396" s="14" t="str">
        <x:f>IF(AND(Q396&gt;0,S396&gt;0,V396&lt;&gt;""),V396/S396/Q396,"")</x:f>
      </x:c>
      <x:c r="X396" s="3" t="s">
        <x:v>1086</x:v>
      </x:c>
    </x:row>
    <x:row r="397">
      <x:c r="A397" s="12" t="s">
        <x:v>1087</x:v>
      </x:c>
      <x:c r="B397" s="3" t="s">
        <x:v>1088</x:v>
      </x:c>
      <x:c r="C397" s="4" t="s">
        <x:v>1089</x:v>
      </x:c>
      <x:c r="D397" s="5">
        <x:v>306</x:v>
      </x:c>
      <x:c r="E397" s="13"/>
      <x:c r="F397" s="13"/>
      <x:c r="G397" s="13"/>
      <x:c r="H397" s="13"/>
      <x:c r="I397" s="13"/>
      <x:c r="J397" s="13"/>
      <x:c r="K397" s="13"/>
      <x:c r="L397" s="13"/>
      <x:c r="M397" s="13"/>
      <x:c r="N397" s="13"/>
      <x:c r="O397" s="13"/>
      <x:c r="P397" s="13"/>
      <x:c r="Q397" s="13" t="n">
        <x:f>COUNT(E397:P397)</x:f>
        <x:v>0</x:v>
      </x:c>
      <x:c r="R397" s="13" t="n">
        <x:f>SUM(E397:P397)</x:f>
        <x:v>0</x:v>
      </x:c>
      <x:c r="S397" s="14" t="str">
        <x:f>IF(Q397&gt;0,R397/Q397,"")</x:f>
      </x:c>
      <x:c r="T397" s="15"/>
      <x:c r="U397" s="15"/>
      <x:c r="V397" s="14"/>
      <x:c r="W397" s="14" t="str">
        <x:f>IF(AND(Q397&gt;0,S397&gt;0,V397&lt;&gt;""),V397/S397/Q397,"")</x:f>
      </x:c>
      <x:c r="X397" s="3" t="s">
        <x:v>1090</x:v>
      </x:c>
    </x:row>
    <x:row r="398">
      <x:c r="A398" s="12" t="s">
        <x:v>344</x:v>
      </x:c>
      <x:c r="B398" s="3" t="s">
        <x:v>345</x:v>
      </x:c>
      <x:c r="C398" s="4" t="s">
        <x:v>1091</x:v>
      </x:c>
      <x:c r="D398" s="5">
        <x:v>306</x:v>
      </x:c>
      <x:c r="E398" s="13"/>
      <x:c r="F398" s="13"/>
      <x:c r="G398" s="13"/>
      <x:c r="H398" s="13"/>
      <x:c r="I398" s="13"/>
      <x:c r="J398" s="13"/>
      <x:c r="K398" s="13"/>
      <x:c r="L398" s="13"/>
      <x:c r="M398" s="13"/>
      <x:c r="N398" s="13"/>
      <x:c r="O398" s="13"/>
      <x:c r="P398" s="13"/>
      <x:c r="Q398" s="13" t="n">
        <x:f>COUNT(E398:P398)</x:f>
        <x:v>0</x:v>
      </x:c>
      <x:c r="R398" s="13" t="n">
        <x:f>SUM(E398:P398)</x:f>
        <x:v>0</x:v>
      </x:c>
      <x:c r="S398" s="14" t="str">
        <x:f>IF(Q398&gt;0,R398/Q398,"")</x:f>
      </x:c>
      <x:c r="T398" s="15"/>
      <x:c r="U398" s="15"/>
      <x:c r="V398" s="14"/>
      <x:c r="W398" s="14" t="str">
        <x:f>IF(AND(Q398&gt;0,S398&gt;0,V398&lt;&gt;""),V398/S398/Q398,"")</x:f>
      </x:c>
      <x:c r="X398" s="3" t="s">
        <x:v>1092</x:v>
      </x:c>
    </x:row>
    <x:row r="399">
      <x:c r="A399" s="12" t="s">
        <x:v>985</x:v>
      </x:c>
      <x:c r="B399" s="3" t="s">
        <x:v>986</x:v>
      </x:c>
      <x:c r="C399" s="4" t="s">
        <x:v>1093</x:v>
      </x:c>
      <x:c r="D399" s="5">
        <x:v>306</x:v>
      </x:c>
      <x:c r="E399" s="13"/>
      <x:c r="F399" s="13"/>
      <x:c r="G399" s="13"/>
      <x:c r="H399" s="13"/>
      <x:c r="I399" s="13"/>
      <x:c r="J399" s="13"/>
      <x:c r="K399" s="13"/>
      <x:c r="L399" s="13"/>
      <x:c r="M399" s="13"/>
      <x:c r="N399" s="13"/>
      <x:c r="O399" s="13"/>
      <x:c r="P399" s="13"/>
      <x:c r="Q399" s="13" t="n">
        <x:f>COUNT(E399:P399)</x:f>
        <x:v>0</x:v>
      </x:c>
      <x:c r="R399" s="13" t="n">
        <x:f>SUM(E399:P399)</x:f>
        <x:v>0</x:v>
      </x:c>
      <x:c r="S399" s="14" t="str">
        <x:f>IF(Q399&gt;0,R399/Q399,"")</x:f>
      </x:c>
      <x:c r="T399" s="15"/>
      <x:c r="U399" s="15"/>
      <x:c r="V399" s="14"/>
      <x:c r="W399" s="14" t="str">
        <x:f>IF(AND(Q399&gt;0,S399&gt;0,V399&lt;&gt;""),V399/S399/Q399,"")</x:f>
      </x:c>
      <x:c r="X399" s="3" t="s">
        <x:v>1094</x:v>
      </x:c>
    </x:row>
    <x:row r="400">
      <x:c r="A400" s="12" t="s">
        <x:v>344</x:v>
      </x:c>
      <x:c r="B400" s="3" t="s">
        <x:v>345</x:v>
      </x:c>
      <x:c r="C400" s="4" t="s">
        <x:v>1095</x:v>
      </x:c>
      <x:c r="D400" s="5">
        <x:v>306</x:v>
      </x:c>
      <x:c r="E400" s="13"/>
      <x:c r="F400" s="13"/>
      <x:c r="G400" s="13"/>
      <x:c r="H400" s="13"/>
      <x:c r="I400" s="13"/>
      <x:c r="J400" s="13"/>
      <x:c r="K400" s="13"/>
      <x:c r="L400" s="13"/>
      <x:c r="M400" s="13"/>
      <x:c r="N400" s="13"/>
      <x:c r="O400" s="13"/>
      <x:c r="P400" s="13"/>
      <x:c r="Q400" s="13" t="n">
        <x:f>COUNT(E400:P400)</x:f>
        <x:v>0</x:v>
      </x:c>
      <x:c r="R400" s="13" t="n">
        <x:f>SUM(E400:P400)</x:f>
        <x:v>0</x:v>
      </x:c>
      <x:c r="S400" s="14" t="str">
        <x:f>IF(Q400&gt;0,R400/Q400,"")</x:f>
      </x:c>
      <x:c r="T400" s="15"/>
      <x:c r="U400" s="15"/>
      <x:c r="V400" s="14"/>
      <x:c r="W400" s="14" t="str">
        <x:f>IF(AND(Q400&gt;0,S400&gt;0,V400&lt;&gt;""),V400/S400/Q400,"")</x:f>
      </x:c>
      <x:c r="X400" s="3" t="s">
        <x:v>1096</x:v>
      </x:c>
    </x:row>
    <x:row r="401">
      <x:c r="A401" s="12" t="s">
        <x:v>989</x:v>
      </x:c>
      <x:c r="B401" s="3" t="s">
        <x:v>1097</x:v>
      </x:c>
      <x:c r="C401" s="4" t="s">
        <x:v>1098</x:v>
      </x:c>
      <x:c r="D401" s="5">
        <x:v>306</x:v>
      </x:c>
      <x:c r="E401" s="13">
        <x:v>1</x:v>
      </x:c>
      <x:c r="F401" s="13">
        <x:v>1</x:v>
      </x:c>
      <x:c r="G401" s="13">
        <x:v>1</x:v>
      </x:c>
      <x:c r="H401" s="13">
        <x:v>1</x:v>
      </x:c>
      <x:c r="I401" s="13">
        <x:v>1</x:v>
      </x:c>
      <x:c r="J401" s="13">
        <x:v>1</x:v>
      </x:c>
      <x:c r="K401" s="13">
        <x:v>1</x:v>
      </x:c>
      <x:c r="L401" s="13">
        <x:v>1</x:v>
      </x:c>
      <x:c r="M401" s="13">
        <x:v>1</x:v>
      </x:c>
      <x:c r="N401" s="13">
        <x:v>1</x:v>
      </x:c>
      <x:c r="O401" s="13">
        <x:v>1</x:v>
      </x:c>
      <x:c r="P401" s="13">
        <x:v>1</x:v>
      </x:c>
      <x:c r="Q401" s="13" t="n">
        <x:f>COUNT(E401:P401)</x:f>
        <x:v>12</x:v>
      </x:c>
      <x:c r="R401" s="13" t="n">
        <x:f>SUM(E401:P401)</x:f>
        <x:v>12</x:v>
      </x:c>
      <x:c r="S401" s="14" t="n">
        <x:f>IF(Q401&gt;0,R401/Q401,"")</x:f>
        <x:v>1</x:v>
      </x:c>
      <x:c r="T401" s="15">
        <x:v>0</x:v>
      </x:c>
      <x:c r="U401" s="15">
        <x:v>0</x:v>
      </x:c>
      <x:c r="V401" s="14"/>
      <x:c r="W401" s="14" t="str">
        <x:f>IF(AND(Q401&gt;0,S401&gt;0,V401&lt;&gt;""),V401/S401/Q401,"")</x:f>
      </x:c>
      <x:c r="X401" s="3" t="s">
        <x:v>1099</x:v>
      </x:c>
    </x:row>
    <x:row r="402">
      <x:c r="A402" s="12" t="s">
        <x:v>207</x:v>
      </x:c>
      <x:c r="B402" s="3" t="s">
        <x:v>376</x:v>
      </x:c>
      <x:c r="C402" s="4" t="s">
        <x:v>1100</x:v>
      </x:c>
      <x:c r="D402" s="5">
        <x:v>306</x:v>
      </x:c>
      <x:c r="E402" s="13"/>
      <x:c r="F402" s="13"/>
      <x:c r="G402" s="13"/>
      <x:c r="H402" s="13"/>
      <x:c r="I402" s="13"/>
      <x:c r="J402" s="13"/>
      <x:c r="K402" s="13"/>
      <x:c r="L402" s="13"/>
      <x:c r="M402" s="13"/>
      <x:c r="N402" s="13"/>
      <x:c r="O402" s="13"/>
      <x:c r="P402" s="13"/>
      <x:c r="Q402" s="13" t="n">
        <x:f>COUNT(E402:P402)</x:f>
        <x:v>0</x:v>
      </x:c>
      <x:c r="R402" s="13" t="n">
        <x:f>SUM(E402:P402)</x:f>
        <x:v>0</x:v>
      </x:c>
      <x:c r="S402" s="14" t="str">
        <x:f>IF(Q402&gt;0,R402/Q402,"")</x:f>
      </x:c>
      <x:c r="T402" s="15"/>
      <x:c r="U402" s="15"/>
      <x:c r="V402" s="14"/>
      <x:c r="W402" s="14" t="str">
        <x:f>IF(AND(Q402&gt;0,S402&gt;0,V402&lt;&gt;""),V402/S402/Q402,"")</x:f>
      </x:c>
      <x:c r="X402" s="3" t="s">
        <x:v>1101</x:v>
      </x:c>
    </x:row>
    <x:row r="403">
      <x:c r="A403" s="12" t="s">
        <x:v>322</x:v>
      </x:c>
      <x:c r="B403" s="3" t="s">
        <x:v>436</x:v>
      </x:c>
      <x:c r="C403" s="4" t="s">
        <x:v>1102</x:v>
      </x:c>
      <x:c r="D403" s="5">
        <x:v>306</x:v>
      </x:c>
      <x:c r="E403" s="13"/>
      <x:c r="F403" s="13"/>
      <x:c r="G403" s="13"/>
      <x:c r="H403" s="13"/>
      <x:c r="I403" s="13"/>
      <x:c r="J403" s="13"/>
      <x:c r="K403" s="13"/>
      <x:c r="L403" s="13"/>
      <x:c r="M403" s="13"/>
      <x:c r="N403" s="13"/>
      <x:c r="O403" s="13"/>
      <x:c r="P403" s="13"/>
      <x:c r="Q403" s="13" t="n">
        <x:f>COUNT(E403:P403)</x:f>
        <x:v>0</x:v>
      </x:c>
      <x:c r="R403" s="13" t="n">
        <x:f>SUM(E403:P403)</x:f>
        <x:v>0</x:v>
      </x:c>
      <x:c r="S403" s="14" t="str">
        <x:f>IF(Q403&gt;0,R403/Q403,"")</x:f>
      </x:c>
      <x:c r="T403" s="15"/>
      <x:c r="U403" s="15"/>
      <x:c r="V403" s="14"/>
      <x:c r="W403" s="14" t="str">
        <x:f>IF(AND(Q403&gt;0,S403&gt;0,V403&lt;&gt;""),V403/S403/Q403,"")</x:f>
      </x:c>
      <x:c r="X403" s="3" t="s">
        <x:v>1103</x:v>
      </x:c>
    </x:row>
    <x:row r="404">
      <x:c r="A404" s="12" t="s">
        <x:v>128</x:v>
      </x:c>
      <x:c r="B404" s="3" t="s">
        <x:v>129</x:v>
      </x:c>
      <x:c r="C404" s="4" t="s">
        <x:v>1104</x:v>
      </x:c>
      <x:c r="D404" s="5">
        <x:v>306</x:v>
      </x:c>
      <x:c r="E404" s="13"/>
      <x:c r="F404" s="13"/>
      <x:c r="G404" s="13"/>
      <x:c r="H404" s="13"/>
      <x:c r="I404" s="13"/>
      <x:c r="J404" s="13"/>
      <x:c r="K404" s="13"/>
      <x:c r="L404" s="13"/>
      <x:c r="M404" s="13"/>
      <x:c r="N404" s="13"/>
      <x:c r="O404" s="13"/>
      <x:c r="P404" s="13"/>
      <x:c r="Q404" s="13" t="n">
        <x:f>COUNT(E404:P404)</x:f>
        <x:v>0</x:v>
      </x:c>
      <x:c r="R404" s="13" t="n">
        <x:f>SUM(E404:P404)</x:f>
        <x:v>0</x:v>
      </x:c>
      <x:c r="S404" s="14" t="str">
        <x:f>IF(Q404&gt;0,R404/Q404,"")</x:f>
      </x:c>
      <x:c r="T404" s="15"/>
      <x:c r="U404" s="15"/>
      <x:c r="V404" s="14"/>
      <x:c r="W404" s="14" t="str">
        <x:f>IF(AND(Q404&gt;0,S404&gt;0,V404&lt;&gt;""),V404/S404/Q404,"")</x:f>
      </x:c>
      <x:c r="X404" s="3" t="s">
        <x:v>1105</x:v>
      </x:c>
    </x:row>
    <x:row r="405">
      <x:c r="A405" s="12" t="s">
        <x:v>1106</x:v>
      </x:c>
      <x:c r="B405" s="3" t="s">
        <x:v>1107</x:v>
      </x:c>
      <x:c r="C405" s="4" t="s">
        <x:v>1108</x:v>
      </x:c>
      <x:c r="D405" s="5">
        <x:v>306</x:v>
      </x:c>
      <x:c r="E405" s="13"/>
      <x:c r="F405" s="13"/>
      <x:c r="G405" s="13"/>
      <x:c r="H405" s="13"/>
      <x:c r="I405" s="13"/>
      <x:c r="J405" s="13"/>
      <x:c r="K405" s="13"/>
      <x:c r="L405" s="13"/>
      <x:c r="M405" s="13"/>
      <x:c r="N405" s="13"/>
      <x:c r="O405" s="13"/>
      <x:c r="P405" s="13"/>
      <x:c r="Q405" s="13" t="n">
        <x:f>COUNT(E405:P405)</x:f>
        <x:v>0</x:v>
      </x:c>
      <x:c r="R405" s="13" t="n">
        <x:f>SUM(E405:P405)</x:f>
        <x:v>0</x:v>
      </x:c>
      <x:c r="S405" s="14" t="str">
        <x:f>IF(Q405&gt;0,R405/Q405,"")</x:f>
      </x:c>
      <x:c r="T405" s="15"/>
      <x:c r="U405" s="15"/>
      <x:c r="V405" s="14"/>
      <x:c r="W405" s="14" t="str">
        <x:f>IF(AND(Q405&gt;0,S405&gt;0,V405&lt;&gt;""),V405/S405/Q405,"")</x:f>
      </x:c>
      <x:c r="X405" s="3" t="s">
        <x:v>1109</x:v>
      </x:c>
    </x:row>
    <x:row r="406">
      <x:c r="A406" s="12" t="s">
        <x:v>854</x:v>
      </x:c>
      <x:c r="B406" s="3" t="s">
        <x:v>1110</x:v>
      </x:c>
      <x:c r="C406" s="4" t="s">
        <x:v>1111</x:v>
      </x:c>
      <x:c r="D406" s="5">
        <x:v>306</x:v>
      </x:c>
      <x:c r="E406" s="13"/>
      <x:c r="F406" s="13"/>
      <x:c r="G406" s="13"/>
      <x:c r="H406" s="13"/>
      <x:c r="I406" s="13"/>
      <x:c r="J406" s="13"/>
      <x:c r="K406" s="13"/>
      <x:c r="L406" s="13"/>
      <x:c r="M406" s="13"/>
      <x:c r="N406" s="13"/>
      <x:c r="O406" s="13"/>
      <x:c r="P406" s="13"/>
      <x:c r="Q406" s="13" t="n">
        <x:f>COUNT(E406:P406)</x:f>
        <x:v>0</x:v>
      </x:c>
      <x:c r="R406" s="13" t="n">
        <x:f>SUM(E406:P406)</x:f>
        <x:v>0</x:v>
      </x:c>
      <x:c r="S406" s="14" t="str">
        <x:f>IF(Q406&gt;0,R406/Q406,"")</x:f>
      </x:c>
      <x:c r="T406" s="15"/>
      <x:c r="U406" s="15"/>
      <x:c r="V406" s="14"/>
      <x:c r="W406" s="14" t="str">
        <x:f>IF(AND(Q406&gt;0,S406&gt;0,V406&lt;&gt;""),V406/S406/Q406,"")</x:f>
      </x:c>
      <x:c r="X406" s="3" t="s">
        <x:v>1112</x:v>
      </x:c>
    </x:row>
    <x:row r="407">
      <x:c r="A407" s="12" t="s">
        <x:v>316</x:v>
      </x:c>
      <x:c r="B407" s="3" t="s">
        <x:v>317</x:v>
      </x:c>
      <x:c r="C407" s="4" t="s">
        <x:v>1113</x:v>
      </x:c>
      <x:c r="D407" s="5">
        <x:v>306</x:v>
      </x:c>
      <x:c r="E407" s="13"/>
      <x:c r="F407" s="13"/>
      <x:c r="G407" s="13"/>
      <x:c r="H407" s="13"/>
      <x:c r="I407" s="13"/>
      <x:c r="J407" s="13"/>
      <x:c r="K407" s="13"/>
      <x:c r="L407" s="13"/>
      <x:c r="M407" s="13"/>
      <x:c r="N407" s="13"/>
      <x:c r="O407" s="13"/>
      <x:c r="P407" s="13"/>
      <x:c r="Q407" s="13" t="n">
        <x:f>COUNT(E407:P407)</x:f>
        <x:v>0</x:v>
      </x:c>
      <x:c r="R407" s="13" t="n">
        <x:f>SUM(E407:P407)</x:f>
        <x:v>0</x:v>
      </x:c>
      <x:c r="S407" s="14" t="str">
        <x:f>IF(Q407&gt;0,R407/Q407,"")</x:f>
      </x:c>
      <x:c r="T407" s="15"/>
      <x:c r="U407" s="15"/>
      <x:c r="V407" s="14"/>
      <x:c r="W407" s="14" t="str">
        <x:f>IF(AND(Q407&gt;0,S407&gt;0,V407&lt;&gt;""),V407/S407/Q407,"")</x:f>
      </x:c>
      <x:c r="X407" s="3" t="s">
        <x:v>1114</x:v>
      </x:c>
    </x:row>
    <x:row r="408">
      <x:c r="A408" s="12" t="s">
        <x:v>316</x:v>
      </x:c>
      <x:c r="B408" s="3" t="s">
        <x:v>317</x:v>
      </x:c>
      <x:c r="C408" s="4" t="s">
        <x:v>1115</x:v>
      </x:c>
      <x:c r="D408" s="5">
        <x:v>306</x:v>
      </x:c>
      <x:c r="E408" s="13"/>
      <x:c r="F408" s="13"/>
      <x:c r="G408" s="13"/>
      <x:c r="H408" s="13"/>
      <x:c r="I408" s="13"/>
      <x:c r="J408" s="13"/>
      <x:c r="K408" s="13"/>
      <x:c r="L408" s="13"/>
      <x:c r="M408" s="13"/>
      <x:c r="N408" s="13"/>
      <x:c r="O408" s="13"/>
      <x:c r="P408" s="13"/>
      <x:c r="Q408" s="13" t="n">
        <x:f>COUNT(E408:P408)</x:f>
        <x:v>0</x:v>
      </x:c>
      <x:c r="R408" s="13" t="n">
        <x:f>SUM(E408:P408)</x:f>
        <x:v>0</x:v>
      </x:c>
      <x:c r="S408" s="14" t="str">
        <x:f>IF(Q408&gt;0,R408/Q408,"")</x:f>
      </x:c>
      <x:c r="T408" s="15"/>
      <x:c r="U408" s="15"/>
      <x:c r="V408" s="14"/>
      <x:c r="W408" s="14" t="str">
        <x:f>IF(AND(Q408&gt;0,S408&gt;0,V408&lt;&gt;""),V408/S408/Q408,"")</x:f>
      </x:c>
      <x:c r="X408" s="3" t="s">
        <x:v>1116</x:v>
      </x:c>
    </x:row>
    <x:row r="409">
      <x:c r="A409" s="12" t="s">
        <x:v>67</x:v>
      </x:c>
      <x:c r="B409" s="3" t="s">
        <x:v>68</x:v>
      </x:c>
      <x:c r="C409" s="4" t="s">
        <x:v>1117</x:v>
      </x:c>
      <x:c r="D409" s="5">
        <x:v>306</x:v>
      </x:c>
      <x:c r="E409" s="13"/>
      <x:c r="F409" s="13"/>
      <x:c r="G409" s="13"/>
      <x:c r="H409" s="13"/>
      <x:c r="I409" s="13"/>
      <x:c r="J409" s="13"/>
      <x:c r="K409" s="13"/>
      <x:c r="L409" s="13"/>
      <x:c r="M409" s="13"/>
      <x:c r="N409" s="13"/>
      <x:c r="O409" s="13"/>
      <x:c r="P409" s="13"/>
      <x:c r="Q409" s="13" t="n">
        <x:f>COUNT(E409:P409)</x:f>
        <x:v>0</x:v>
      </x:c>
      <x:c r="R409" s="13" t="n">
        <x:f>SUM(E409:P409)</x:f>
        <x:v>0</x:v>
      </x:c>
      <x:c r="S409" s="14" t="str">
        <x:f>IF(Q409&gt;0,R409/Q409,"")</x:f>
      </x:c>
      <x:c r="T409" s="15"/>
      <x:c r="U409" s="15"/>
      <x:c r="V409" s="14"/>
      <x:c r="W409" s="14" t="str">
        <x:f>IF(AND(Q409&gt;0,S409&gt;0,V409&lt;&gt;""),V409/S409/Q409,"")</x:f>
      </x:c>
      <x:c r="X409" s="3" t="s">
        <x:v>1118</x:v>
      </x:c>
    </x:row>
    <x:row r="410">
      <x:c r="A410" s="12" t="s">
        <x:v>81</x:v>
      </x:c>
      <x:c r="B410" s="3" t="s">
        <x:v>82</x:v>
      </x:c>
      <x:c r="C410" s="4" t="s">
        <x:v>1119</x:v>
      </x:c>
      <x:c r="D410" s="5">
        <x:v>306</x:v>
      </x:c>
      <x:c r="E410" s="13">
        <x:v>1</x:v>
      </x:c>
      <x:c r="F410" s="13">
        <x:v>1</x:v>
      </x:c>
      <x:c r="G410" s="13">
        <x:v>1</x:v>
      </x:c>
      <x:c r="H410" s="13"/>
      <x:c r="I410" s="13"/>
      <x:c r="J410" s="13"/>
      <x:c r="K410" s="13">
        <x:v>1</x:v>
      </x:c>
      <x:c r="L410" s="13">
        <x:v>1</x:v>
      </x:c>
      <x:c r="M410" s="13">
        <x:v>1</x:v>
      </x:c>
      <x:c r="N410" s="13">
        <x:v>1</x:v>
      </x:c>
      <x:c r="O410" s="13">
        <x:v>1</x:v>
      </x:c>
      <x:c r="P410" s="13">
        <x:v>1</x:v>
      </x:c>
      <x:c r="Q410" s="13" t="n">
        <x:f>COUNT(E410:P410)</x:f>
        <x:v>9</x:v>
      </x:c>
      <x:c r="R410" s="13" t="n">
        <x:f>SUM(E410:P410)</x:f>
        <x:v>9</x:v>
      </x:c>
      <x:c r="S410" s="14" t="n">
        <x:f>IF(Q410&gt;0,R410/Q410,"")</x:f>
        <x:v>1</x:v>
      </x:c>
      <x:c r="T410" s="15"/>
      <x:c r="U410" s="15"/>
      <x:c r="V410" s="14"/>
      <x:c r="W410" s="14" t="str">
        <x:f>IF(AND(Q410&gt;0,S410&gt;0,V410&lt;&gt;""),V410/S410/Q410,"")</x:f>
      </x:c>
      <x:c r="X410" s="3" t="s">
        <x:v>1120</x:v>
      </x:c>
    </x:row>
    <x:row r="411">
      <x:c r="A411" s="12" t="s">
        <x:v>1121</x:v>
      </x:c>
      <x:c r="B411" s="3" t="s">
        <x:v>1122</x:v>
      </x:c>
      <x:c r="C411" s="4" t="s">
        <x:v>1123</x:v>
      </x:c>
      <x:c r="D411" s="5">
        <x:v>306</x:v>
      </x:c>
      <x:c r="E411" s="13"/>
      <x:c r="F411" s="13"/>
      <x:c r="G411" s="13"/>
      <x:c r="H411" s="13"/>
      <x:c r="I411" s="13"/>
      <x:c r="J411" s="13"/>
      <x:c r="K411" s="13"/>
      <x:c r="L411" s="13"/>
      <x:c r="M411" s="13"/>
      <x:c r="N411" s="13">
        <x:v>1</x:v>
      </x:c>
      <x:c r="O411" s="13">
        <x:v>1</x:v>
      </x:c>
      <x:c r="P411" s="13">
        <x:v>1</x:v>
      </x:c>
      <x:c r="Q411" s="13" t="n">
        <x:f>COUNT(E411:P411)</x:f>
        <x:v>3</x:v>
      </x:c>
      <x:c r="R411" s="13" t="n">
        <x:f>SUM(E411:P411)</x:f>
        <x:v>3</x:v>
      </x:c>
      <x:c r="S411" s="14" t="n">
        <x:f>IF(Q411&gt;0,R411/Q411,"")</x:f>
        <x:v>1</x:v>
      </x:c>
      <x:c r="T411" s="15"/>
      <x:c r="U411" s="15"/>
      <x:c r="V411" s="14"/>
      <x:c r="W411" s="14" t="str">
        <x:f>IF(AND(Q411&gt;0,S411&gt;0,V411&lt;&gt;""),V411/S411/Q411,"")</x:f>
      </x:c>
      <x:c r="X411" s="3" t="s">
        <x:v>1124</x:v>
      </x:c>
    </x:row>
    <x:row r="412">
      <x:c r="A412" s="12" t="s">
        <x:v>236</x:v>
      </x:c>
      <x:c r="B412" s="3" t="s">
        <x:v>496</x:v>
      </x:c>
      <x:c r="C412" s="4" t="s">
        <x:v>1125</x:v>
      </x:c>
      <x:c r="D412" s="5">
        <x:v>306</x:v>
      </x:c>
      <x:c r="E412" s="13"/>
      <x:c r="F412" s="13"/>
      <x:c r="G412" s="13"/>
      <x:c r="H412" s="13"/>
      <x:c r="I412" s="13"/>
      <x:c r="J412" s="13"/>
      <x:c r="K412" s="13"/>
      <x:c r="L412" s="13"/>
      <x:c r="M412" s="13"/>
      <x:c r="N412" s="13"/>
      <x:c r="O412" s="13"/>
      <x:c r="P412" s="13"/>
      <x:c r="Q412" s="13" t="n">
        <x:f>COUNT(E412:P412)</x:f>
        <x:v>0</x:v>
      </x:c>
      <x:c r="R412" s="13" t="n">
        <x:f>SUM(E412:P412)</x:f>
        <x:v>0</x:v>
      </x:c>
      <x:c r="S412" s="14" t="str">
        <x:f>IF(Q412&gt;0,R412/Q412,"")</x:f>
      </x:c>
      <x:c r="T412" s="15"/>
      <x:c r="U412" s="15"/>
      <x:c r="V412" s="14"/>
      <x:c r="W412" s="14" t="str">
        <x:f>IF(AND(Q412&gt;0,S412&gt;0,V412&lt;&gt;""),V412/S412/Q412,"")</x:f>
      </x:c>
      <x:c r="X412" s="3" t="s">
        <x:v>1126</x:v>
      </x:c>
    </x:row>
    <x:row r="413">
      <x:c r="A413" s="12" t="s">
        <x:v>128</x:v>
      </x:c>
      <x:c r="B413" s="3" t="s">
        <x:v>129</x:v>
      </x:c>
      <x:c r="C413" s="4" t="s">
        <x:v>1127</x:v>
      </x:c>
      <x:c r="D413" s="5">
        <x:v>306</x:v>
      </x:c>
      <x:c r="E413" s="13"/>
      <x:c r="F413" s="13"/>
      <x:c r="G413" s="13"/>
      <x:c r="H413" s="13"/>
      <x:c r="I413" s="13"/>
      <x:c r="J413" s="13"/>
      <x:c r="K413" s="13"/>
      <x:c r="L413" s="13"/>
      <x:c r="M413" s="13"/>
      <x:c r="N413" s="13"/>
      <x:c r="O413" s="13"/>
      <x:c r="P413" s="13"/>
      <x:c r="Q413" s="13" t="n">
        <x:f>COUNT(E413:P413)</x:f>
        <x:v>0</x:v>
      </x:c>
      <x:c r="R413" s="13" t="n">
        <x:f>SUM(E413:P413)</x:f>
        <x:v>0</x:v>
      </x:c>
      <x:c r="S413" s="14" t="str">
        <x:f>IF(Q413&gt;0,R413/Q413,"")</x:f>
      </x:c>
      <x:c r="T413" s="15"/>
      <x:c r="U413" s="15"/>
      <x:c r="V413" s="14"/>
      <x:c r="W413" s="14" t="str">
        <x:f>IF(AND(Q413&gt;0,S413&gt;0,V413&lt;&gt;""),V413/S413/Q413,"")</x:f>
      </x:c>
      <x:c r="X413" s="3" t="s">
        <x:v>1128</x:v>
      </x:c>
    </x:row>
    <x:row r="414">
      <x:c r="A414" s="12" t="s">
        <x:v>19</x:v>
      </x:c>
      <x:c r="B414" s="3" t="s">
        <x:v>85</x:v>
      </x:c>
      <x:c r="C414" s="4" t="s">
        <x:v>1129</x:v>
      </x:c>
      <x:c r="D414" s="5">
        <x:v>306</x:v>
      </x:c>
      <x:c r="E414" s="13"/>
      <x:c r="F414" s="13"/>
      <x:c r="G414" s="13"/>
      <x:c r="H414" s="13"/>
      <x:c r="I414" s="13"/>
      <x:c r="J414" s="13"/>
      <x:c r="K414" s="13"/>
      <x:c r="L414" s="13"/>
      <x:c r="M414" s="13"/>
      <x:c r="N414" s="13"/>
      <x:c r="O414" s="13"/>
      <x:c r="P414" s="13"/>
      <x:c r="Q414" s="13" t="n">
        <x:f>COUNT(E414:P414)</x:f>
        <x:v>0</x:v>
      </x:c>
      <x:c r="R414" s="13" t="n">
        <x:f>SUM(E414:P414)</x:f>
        <x:v>0</x:v>
      </x:c>
      <x:c r="S414" s="14" t="str">
        <x:f>IF(Q414&gt;0,R414/Q414,"")</x:f>
      </x:c>
      <x:c r="T414" s="15"/>
      <x:c r="U414" s="15"/>
      <x:c r="V414" s="14"/>
      <x:c r="W414" s="14" t="str">
        <x:f>IF(AND(Q414&gt;0,S414&gt;0,V414&lt;&gt;""),V414/S414/Q414,"")</x:f>
      </x:c>
      <x:c r="X414" s="3" t="s">
        <x:v>1130</x:v>
      </x:c>
    </x:row>
    <x:row r="415">
      <x:c r="A415" s="12" t="s">
        <x:v>1131</x:v>
      </x:c>
      <x:c r="B415" s="3" t="s">
        <x:v>1132</x:v>
      </x:c>
      <x:c r="C415" s="4" t="s">
        <x:v>1133</x:v>
      </x:c>
      <x:c r="D415" s="5">
        <x:v>306</x:v>
      </x:c>
      <x:c r="E415" s="13"/>
      <x:c r="F415" s="13"/>
      <x:c r="G415" s="13"/>
      <x:c r="H415" s="13"/>
      <x:c r="I415" s="13"/>
      <x:c r="J415" s="13"/>
      <x:c r="K415" s="13"/>
      <x:c r="L415" s="13"/>
      <x:c r="M415" s="13"/>
      <x:c r="N415" s="13"/>
      <x:c r="O415" s="13"/>
      <x:c r="P415" s="13"/>
      <x:c r="Q415" s="13" t="n">
        <x:f>COUNT(E415:P415)</x:f>
        <x:v>0</x:v>
      </x:c>
      <x:c r="R415" s="13" t="n">
        <x:f>SUM(E415:P415)</x:f>
        <x:v>0</x:v>
      </x:c>
      <x:c r="S415" s="14" t="str">
        <x:f>IF(Q415&gt;0,R415/Q415,"")</x:f>
      </x:c>
      <x:c r="T415" s="15"/>
      <x:c r="U415" s="15"/>
      <x:c r="V415" s="14"/>
      <x:c r="W415" s="14" t="str">
        <x:f>IF(AND(Q415&gt;0,S415&gt;0,V415&lt;&gt;""),V415/S415/Q415,"")</x:f>
      </x:c>
      <x:c r="X415" s="3" t="s">
        <x:v>1134</x:v>
      </x:c>
    </x:row>
    <x:row r="416">
      <x:c r="A416" s="12" t="s">
        <x:v>71</x:v>
      </x:c>
      <x:c r="B416" s="3" t="s">
        <x:v>72</x:v>
      </x:c>
      <x:c r="C416" s="4" t="s">
        <x:v>1135</x:v>
      </x:c>
      <x:c r="D416" s="5">
        <x:v>306</x:v>
      </x:c>
      <x:c r="E416" s="13"/>
      <x:c r="F416" s="13"/>
      <x:c r="G416" s="13"/>
      <x:c r="H416" s="13"/>
      <x:c r="I416" s="13"/>
      <x:c r="J416" s="13"/>
      <x:c r="K416" s="13"/>
      <x:c r="L416" s="13"/>
      <x:c r="M416" s="13"/>
      <x:c r="N416" s="13"/>
      <x:c r="O416" s="13"/>
      <x:c r="P416" s="13"/>
      <x:c r="Q416" s="13" t="n">
        <x:f>COUNT(E416:P416)</x:f>
        <x:v>0</x:v>
      </x:c>
      <x:c r="R416" s="13" t="n">
        <x:f>SUM(E416:P416)</x:f>
        <x:v>0</x:v>
      </x:c>
      <x:c r="S416" s="14" t="str">
        <x:f>IF(Q416&gt;0,R416/Q416,"")</x:f>
      </x:c>
      <x:c r="T416" s="15"/>
      <x:c r="U416" s="15"/>
      <x:c r="V416" s="14"/>
      <x:c r="W416" s="14" t="str">
        <x:f>IF(AND(Q416&gt;0,S416&gt;0,V416&lt;&gt;""),V416/S416/Q416,"")</x:f>
      </x:c>
      <x:c r="X416" s="3" t="s">
        <x:v>1136</x:v>
      </x:c>
    </x:row>
    <x:row r="417">
      <x:c r="A417" s="12" t="s">
        <x:v>1137</x:v>
      </x:c>
      <x:c r="B417" s="3" t="s">
        <x:v>1138</x:v>
      </x:c>
      <x:c r="C417" s="4" t="s">
        <x:v>1139</x:v>
      </x:c>
      <x:c r="D417" s="5">
        <x:v>306</x:v>
      </x:c>
      <x:c r="E417" s="13"/>
      <x:c r="F417" s="13"/>
      <x:c r="G417" s="13"/>
      <x:c r="H417" s="13"/>
      <x:c r="I417" s="13"/>
      <x:c r="J417" s="13"/>
      <x:c r="K417" s="13"/>
      <x:c r="L417" s="13"/>
      <x:c r="M417" s="13"/>
      <x:c r="N417" s="13"/>
      <x:c r="O417" s="13"/>
      <x:c r="P417" s="13"/>
      <x:c r="Q417" s="13" t="n">
        <x:f>COUNT(E417:P417)</x:f>
        <x:v>0</x:v>
      </x:c>
      <x:c r="R417" s="13" t="n">
        <x:f>SUM(E417:P417)</x:f>
        <x:v>0</x:v>
      </x:c>
      <x:c r="S417" s="14" t="str">
        <x:f>IF(Q417&gt;0,R417/Q417,"")</x:f>
      </x:c>
      <x:c r="T417" s="15"/>
      <x:c r="U417" s="15"/>
      <x:c r="V417" s="14"/>
      <x:c r="W417" s="14" t="str">
        <x:f>IF(AND(Q417&gt;0,S417&gt;0,V417&lt;&gt;""),V417/S417/Q417,"")</x:f>
      </x:c>
      <x:c r="X417" s="3" t="s">
        <x:v>1140</x:v>
      </x:c>
    </x:row>
    <x:row r="418">
      <x:c r="A418" s="12" t="s">
        <x:v>566</x:v>
      </x:c>
      <x:c r="B418" s="3" t="s">
        <x:v>1141</x:v>
      </x:c>
      <x:c r="C418" s="4" t="s">
        <x:v>1142</x:v>
      </x:c>
      <x:c r="D418" s="5">
        <x:v>306</x:v>
      </x:c>
      <x:c r="E418" s="13"/>
      <x:c r="F418" s="13"/>
      <x:c r="G418" s="13"/>
      <x:c r="H418" s="13"/>
      <x:c r="I418" s="13"/>
      <x:c r="J418" s="13"/>
      <x:c r="K418" s="13"/>
      <x:c r="L418" s="13"/>
      <x:c r="M418" s="13"/>
      <x:c r="N418" s="13"/>
      <x:c r="O418" s="13"/>
      <x:c r="P418" s="13"/>
      <x:c r="Q418" s="13" t="n">
        <x:f>COUNT(E418:P418)</x:f>
        <x:v>0</x:v>
      </x:c>
      <x:c r="R418" s="13" t="n">
        <x:f>SUM(E418:P418)</x:f>
        <x:v>0</x:v>
      </x:c>
      <x:c r="S418" s="14" t="str">
        <x:f>IF(Q418&gt;0,R418/Q418,"")</x:f>
      </x:c>
      <x:c r="T418" s="15"/>
      <x:c r="U418" s="15"/>
      <x:c r="V418" s="14"/>
      <x:c r="W418" s="14" t="str">
        <x:f>IF(AND(Q418&gt;0,S418&gt;0,V418&lt;&gt;""),V418/S418/Q418,"")</x:f>
      </x:c>
      <x:c r="X418" s="3" t="s">
        <x:v>1143</x:v>
      </x:c>
    </x:row>
    <x:row r="419">
      <x:c r="A419" s="12" t="s">
        <x:v>962</x:v>
      </x:c>
      <x:c r="B419" s="3" t="s">
        <x:v>963</x:v>
      </x:c>
      <x:c r="C419" s="4" t="s">
        <x:v>1144</x:v>
      </x:c>
      <x:c r="D419" s="5">
        <x:v>306</x:v>
      </x:c>
      <x:c r="E419" s="13"/>
      <x:c r="F419" s="13"/>
      <x:c r="G419" s="13"/>
      <x:c r="H419" s="13"/>
      <x:c r="I419" s="13"/>
      <x:c r="J419" s="13"/>
      <x:c r="K419" s="13"/>
      <x:c r="L419" s="13"/>
      <x:c r="M419" s="13"/>
      <x:c r="N419" s="13"/>
      <x:c r="O419" s="13"/>
      <x:c r="P419" s="13"/>
      <x:c r="Q419" s="13" t="n">
        <x:f>COUNT(E419:P419)</x:f>
        <x:v>0</x:v>
      </x:c>
      <x:c r="R419" s="13" t="n">
        <x:f>SUM(E419:P419)</x:f>
        <x:v>0</x:v>
      </x:c>
      <x:c r="S419" s="14" t="str">
        <x:f>IF(Q419&gt;0,R419/Q419,"")</x:f>
      </x:c>
      <x:c r="T419" s="15"/>
      <x:c r="U419" s="15"/>
      <x:c r="V419" s="14"/>
      <x:c r="W419" s="14" t="str">
        <x:f>IF(AND(Q419&gt;0,S419&gt;0,V419&lt;&gt;""),V419/S419/Q419,"")</x:f>
      </x:c>
      <x:c r="X419" s="3" t="s">
        <x:v>1145</x:v>
      </x:c>
    </x:row>
    <x:row r="420">
      <x:c r="A420" s="12" t="s">
        <x:v>67</x:v>
      </x:c>
      <x:c r="B420" s="3" t="s">
        <x:v>68</x:v>
      </x:c>
      <x:c r="C420" s="4" t="s">
        <x:v>1146</x:v>
      </x:c>
      <x:c r="D420" s="5">
        <x:v>306</x:v>
      </x:c>
      <x:c r="E420" s="13"/>
      <x:c r="F420" s="13"/>
      <x:c r="G420" s="13"/>
      <x:c r="H420" s="13"/>
      <x:c r="I420" s="13"/>
      <x:c r="J420" s="13"/>
      <x:c r="K420" s="13"/>
      <x:c r="L420" s="13"/>
      <x:c r="M420" s="13"/>
      <x:c r="N420" s="13"/>
      <x:c r="O420" s="13"/>
      <x:c r="P420" s="13"/>
      <x:c r="Q420" s="13" t="n">
        <x:f>COUNT(E420:P420)</x:f>
        <x:v>0</x:v>
      </x:c>
      <x:c r="R420" s="13" t="n">
        <x:f>SUM(E420:P420)</x:f>
        <x:v>0</x:v>
      </x:c>
      <x:c r="S420" s="14" t="str">
        <x:f>IF(Q420&gt;0,R420/Q420,"")</x:f>
      </x:c>
      <x:c r="T420" s="15"/>
      <x:c r="U420" s="15"/>
      <x:c r="V420" s="14"/>
      <x:c r="W420" s="14" t="str">
        <x:f>IF(AND(Q420&gt;0,S420&gt;0,V420&lt;&gt;""),V420/S420/Q420,"")</x:f>
      </x:c>
      <x:c r="X420" s="3" t="s">
        <x:v>1147</x:v>
      </x:c>
    </x:row>
    <x:row r="421">
      <x:c r="A421" s="12" t="s">
        <x:v>19</x:v>
      </x:c>
      <x:c r="B421" s="3" t="s">
        <x:v>85</x:v>
      </x:c>
      <x:c r="C421" s="4" t="s">
        <x:v>1148</x:v>
      </x:c>
      <x:c r="D421" s="5">
        <x:v>306</x:v>
      </x:c>
      <x:c r="E421" s="13">
        <x:v>1</x:v>
      </x:c>
      <x:c r="F421" s="13">
        <x:v>1</x:v>
      </x:c>
      <x:c r="G421" s="13">
        <x:v>1</x:v>
      </x:c>
      <x:c r="H421" s="13">
        <x:v>1</x:v>
      </x:c>
      <x:c r="I421" s="13">
        <x:v>1</x:v>
      </x:c>
      <x:c r="J421" s="13">
        <x:v>1</x:v>
      </x:c>
      <x:c r="K421" s="13">
        <x:v>1</x:v>
      </x:c>
      <x:c r="L421" s="13">
        <x:v>1</x:v>
      </x:c>
      <x:c r="M421" s="13">
        <x:v>1</x:v>
      </x:c>
      <x:c r="N421" s="13">
        <x:v>1</x:v>
      </x:c>
      <x:c r="O421" s="13">
        <x:v>1</x:v>
      </x:c>
      <x:c r="P421" s="13">
        <x:v>1</x:v>
      </x:c>
      <x:c r="Q421" s="13" t="n">
        <x:f>COUNT(E421:P421)</x:f>
        <x:v>12</x:v>
      </x:c>
      <x:c r="R421" s="13" t="n">
        <x:f>SUM(E421:P421)</x:f>
        <x:v>12</x:v>
      </x:c>
      <x:c r="S421" s="14" t="n">
        <x:f>IF(Q421&gt;0,R421/Q421,"")</x:f>
        <x:v>1</x:v>
      </x:c>
      <x:c r="T421" s="15"/>
      <x:c r="U421" s="15">
        <x:v>0</x:v>
      </x:c>
      <x:c r="V421" s="14"/>
      <x:c r="W421" s="14" t="str">
        <x:f>IF(AND(Q421&gt;0,S421&gt;0,V421&lt;&gt;""),V421/S421/Q421,"")</x:f>
      </x:c>
      <x:c r="X421" s="3" t="s">
        <x:v>1149</x:v>
      </x:c>
    </x:row>
    <x:row r="422">
      <x:c r="A422" s="12" t="s">
        <x:v>98</x:v>
      </x:c>
      <x:c r="B422" s="3" t="s">
        <x:v>99</x:v>
      </x:c>
      <x:c r="C422" s="4" t="s">
        <x:v>1150</x:v>
      </x:c>
      <x:c r="D422" s="5">
        <x:v>306</x:v>
      </x:c>
      <x:c r="E422" s="13"/>
      <x:c r="F422" s="13"/>
      <x:c r="G422" s="13"/>
      <x:c r="H422" s="13">
        <x:v>1</x:v>
      </x:c>
      <x:c r="I422" s="13">
        <x:v>1</x:v>
      </x:c>
      <x:c r="J422" s="13">
        <x:v>1</x:v>
      </x:c>
      <x:c r="K422" s="13">
        <x:v>1</x:v>
      </x:c>
      <x:c r="L422" s="13">
        <x:v>1</x:v>
      </x:c>
      <x:c r="M422" s="13">
        <x:v>1</x:v>
      </x:c>
      <x:c r="N422" s="13"/>
      <x:c r="O422" s="13"/>
      <x:c r="P422" s="13"/>
      <x:c r="Q422" s="13" t="n">
        <x:f>COUNT(E422:P422)</x:f>
        <x:v>6</x:v>
      </x:c>
      <x:c r="R422" s="13" t="n">
        <x:f>SUM(E422:P422)</x:f>
        <x:v>6</x:v>
      </x:c>
      <x:c r="S422" s="14" t="n">
        <x:f>IF(Q422&gt;0,R422/Q422,"")</x:f>
        <x:v>1</x:v>
      </x:c>
      <x:c r="T422" s="15"/>
      <x:c r="U422" s="15"/>
      <x:c r="V422" s="14"/>
      <x:c r="W422" s="14" t="str">
        <x:f>IF(AND(Q422&gt;0,S422&gt;0,V422&lt;&gt;""),V422/S422/Q422,"")</x:f>
      </x:c>
      <x:c r="X422" s="3" t="s">
        <x:v>1151</x:v>
      </x:c>
    </x:row>
    <x:row r="423">
      <x:c r="A423" s="12" t="s">
        <x:v>1050</x:v>
      </x:c>
      <x:c r="B423" s="3" t="s">
        <x:v>1051</x:v>
      </x:c>
      <x:c r="C423" s="4" t="s">
        <x:v>1152</x:v>
      </x:c>
      <x:c r="D423" s="5">
        <x:v>306</x:v>
      </x:c>
      <x:c r="E423" s="13"/>
      <x:c r="F423" s="13"/>
      <x:c r="G423" s="13"/>
      <x:c r="H423" s="13"/>
      <x:c r="I423" s="13"/>
      <x:c r="J423" s="13"/>
      <x:c r="K423" s="13"/>
      <x:c r="L423" s="13"/>
      <x:c r="M423" s="13"/>
      <x:c r="N423" s="13"/>
      <x:c r="O423" s="13"/>
      <x:c r="P423" s="13"/>
      <x:c r="Q423" s="13" t="n">
        <x:f>COUNT(E423:P423)</x:f>
        <x:v>0</x:v>
      </x:c>
      <x:c r="R423" s="13" t="n">
        <x:f>SUM(E423:P423)</x:f>
        <x:v>0</x:v>
      </x:c>
      <x:c r="S423" s="14" t="str">
        <x:f>IF(Q423&gt;0,R423/Q423,"")</x:f>
      </x:c>
      <x:c r="T423" s="15"/>
      <x:c r="U423" s="15"/>
      <x:c r="V423" s="14"/>
      <x:c r="W423" s="14" t="str">
        <x:f>IF(AND(Q423&gt;0,S423&gt;0,V423&lt;&gt;""),V423/S423/Q423,"")</x:f>
      </x:c>
      <x:c r="X423" s="3" t="s">
        <x:v>1153</x:v>
      </x:c>
    </x:row>
    <x:row r="424">
      <x:c r="A424" s="12" t="s">
        <x:v>67</x:v>
      </x:c>
      <x:c r="B424" s="3" t="s">
        <x:v>68</x:v>
      </x:c>
      <x:c r="C424" s="4" t="s">
        <x:v>1154</x:v>
      </x:c>
      <x:c r="D424" s="5">
        <x:v>306</x:v>
      </x:c>
      <x:c r="E424" s="13"/>
      <x:c r="F424" s="13"/>
      <x:c r="G424" s="13"/>
      <x:c r="H424" s="13"/>
      <x:c r="I424" s="13"/>
      <x:c r="J424" s="13"/>
      <x:c r="K424" s="13"/>
      <x:c r="L424" s="13"/>
      <x:c r="M424" s="13"/>
      <x:c r="N424" s="13"/>
      <x:c r="O424" s="13"/>
      <x:c r="P424" s="13"/>
      <x:c r="Q424" s="13" t="n">
        <x:f>COUNT(E424:P424)</x:f>
        <x:v>0</x:v>
      </x:c>
      <x:c r="R424" s="13" t="n">
        <x:f>SUM(E424:P424)</x:f>
        <x:v>0</x:v>
      </x:c>
      <x:c r="S424" s="14" t="str">
        <x:f>IF(Q424&gt;0,R424/Q424,"")</x:f>
      </x:c>
      <x:c r="T424" s="15"/>
      <x:c r="U424" s="15"/>
      <x:c r="V424" s="14"/>
      <x:c r="W424" s="14" t="str">
        <x:f>IF(AND(Q424&gt;0,S424&gt;0,V424&lt;&gt;""),V424/S424/Q424,"")</x:f>
      </x:c>
      <x:c r="X424" s="3" t="s">
        <x:v>1155</x:v>
      </x:c>
    </x:row>
    <x:row r="425">
      <x:c r="A425" s="12" t="s">
        <x:v>98</x:v>
      </x:c>
      <x:c r="B425" s="3" t="s">
        <x:v>99</x:v>
      </x:c>
      <x:c r="C425" s="4" t="s">
        <x:v>1156</x:v>
      </x:c>
      <x:c r="D425" s="5">
        <x:v>306</x:v>
      </x:c>
      <x:c r="E425" s="13"/>
      <x:c r="F425" s="13"/>
      <x:c r="G425" s="13"/>
      <x:c r="H425" s="13"/>
      <x:c r="I425" s="13"/>
      <x:c r="J425" s="13"/>
      <x:c r="K425" s="13"/>
      <x:c r="L425" s="13"/>
      <x:c r="M425" s="13"/>
      <x:c r="N425" s="13"/>
      <x:c r="O425" s="13"/>
      <x:c r="P425" s="13"/>
      <x:c r="Q425" s="13" t="n">
        <x:f>COUNT(E425:P425)</x:f>
        <x:v>0</x:v>
      </x:c>
      <x:c r="R425" s="13" t="n">
        <x:f>SUM(E425:P425)</x:f>
        <x:v>0</x:v>
      </x:c>
      <x:c r="S425" s="14" t="str">
        <x:f>IF(Q425&gt;0,R425/Q425,"")</x:f>
      </x:c>
      <x:c r="T425" s="15"/>
      <x:c r="U425" s="15"/>
      <x:c r="V425" s="14"/>
      <x:c r="W425" s="14" t="str">
        <x:f>IF(AND(Q425&gt;0,S425&gt;0,V425&lt;&gt;""),V425/S425/Q425,"")</x:f>
      </x:c>
      <x:c r="X425" s="3" t="s">
        <x:v>1157</x:v>
      </x:c>
    </x:row>
    <x:row r="426">
      <x:c r="A426" s="12" t="s">
        <x:v>579</x:v>
      </x:c>
      <x:c r="B426" s="3" t="s">
        <x:v>1158</x:v>
      </x:c>
      <x:c r="C426" s="4" t="s">
        <x:v>1159</x:v>
      </x:c>
      <x:c r="D426" s="5">
        <x:v>306</x:v>
      </x:c>
      <x:c r="E426" s="13"/>
      <x:c r="F426" s="13"/>
      <x:c r="G426" s="13"/>
      <x:c r="H426" s="13"/>
      <x:c r="I426" s="13"/>
      <x:c r="J426" s="13"/>
      <x:c r="K426" s="13"/>
      <x:c r="L426" s="13"/>
      <x:c r="M426" s="13"/>
      <x:c r="N426" s="13"/>
      <x:c r="O426" s="13"/>
      <x:c r="P426" s="13"/>
      <x:c r="Q426" s="13" t="n">
        <x:f>COUNT(E426:P426)</x:f>
        <x:v>0</x:v>
      </x:c>
      <x:c r="R426" s="13" t="n">
        <x:f>SUM(E426:P426)</x:f>
        <x:v>0</x:v>
      </x:c>
      <x:c r="S426" s="14" t="str">
        <x:f>IF(Q426&gt;0,R426/Q426,"")</x:f>
      </x:c>
      <x:c r="T426" s="15"/>
      <x:c r="U426" s="15"/>
      <x:c r="V426" s="14"/>
      <x:c r="W426" s="14" t="str">
        <x:f>IF(AND(Q426&gt;0,S426&gt;0,V426&lt;&gt;""),V426/S426/Q426,"")</x:f>
      </x:c>
      <x:c r="X426" s="3" t="s">
        <x:v>1160</x:v>
      </x:c>
    </x:row>
    <x:row r="427">
      <x:c r="A427" s="12" t="s">
        <x:v>1161</x:v>
      </x:c>
      <x:c r="B427" s="3" t="s">
        <x:v>1162</x:v>
      </x:c>
      <x:c r="C427" s="4" t="s">
        <x:v>1163</x:v>
      </x:c>
      <x:c r="D427" s="5">
        <x:v>306</x:v>
      </x:c>
      <x:c r="E427" s="13"/>
      <x:c r="F427" s="13"/>
      <x:c r="G427" s="13"/>
      <x:c r="H427" s="13"/>
      <x:c r="I427" s="13"/>
      <x:c r="J427" s="13"/>
      <x:c r="K427" s="13"/>
      <x:c r="L427" s="13"/>
      <x:c r="M427" s="13"/>
      <x:c r="N427" s="13"/>
      <x:c r="O427" s="13"/>
      <x:c r="P427" s="13"/>
      <x:c r="Q427" s="13" t="n">
        <x:f>COUNT(E427:P427)</x:f>
        <x:v>0</x:v>
      </x:c>
      <x:c r="R427" s="13" t="n">
        <x:f>SUM(E427:P427)</x:f>
        <x:v>0</x:v>
      </x:c>
      <x:c r="S427" s="14" t="str">
        <x:f>IF(Q427&gt;0,R427/Q427,"")</x:f>
      </x:c>
      <x:c r="T427" s="15"/>
      <x:c r="U427" s="15"/>
      <x:c r="V427" s="14"/>
      <x:c r="W427" s="14" t="str">
        <x:f>IF(AND(Q427&gt;0,S427&gt;0,V427&lt;&gt;""),V427/S427/Q427,"")</x:f>
      </x:c>
      <x:c r="X427" s="3" t="s">
        <x:v>1164</x:v>
      </x:c>
    </x:row>
    <x:row r="428">
      <x:c r="A428" s="12" t="s">
        <x:v>51</x:v>
      </x:c>
      <x:c r="B428" s="3" t="s">
        <x:v>52</x:v>
      </x:c>
      <x:c r="C428" s="4" t="s">
        <x:v>1165</x:v>
      </x:c>
      <x:c r="D428" s="5">
        <x:v>306</x:v>
      </x:c>
      <x:c r="E428" s="13"/>
      <x:c r="F428" s="13"/>
      <x:c r="G428" s="13"/>
      <x:c r="H428" s="13"/>
      <x:c r="I428" s="13"/>
      <x:c r="J428" s="13"/>
      <x:c r="K428" s="13"/>
      <x:c r="L428" s="13"/>
      <x:c r="M428" s="13"/>
      <x:c r="N428" s="13"/>
      <x:c r="O428" s="13"/>
      <x:c r="P428" s="13"/>
      <x:c r="Q428" s="13" t="n">
        <x:f>COUNT(E428:P428)</x:f>
        <x:v>0</x:v>
      </x:c>
      <x:c r="R428" s="13" t="n">
        <x:f>SUM(E428:P428)</x:f>
        <x:v>0</x:v>
      </x:c>
      <x:c r="S428" s="14" t="str">
        <x:f>IF(Q428&gt;0,R428/Q428,"")</x:f>
      </x:c>
      <x:c r="T428" s="15"/>
      <x:c r="U428" s="15"/>
      <x:c r="V428" s="14"/>
      <x:c r="W428" s="14" t="str">
        <x:f>IF(AND(Q428&gt;0,S428&gt;0,V428&lt;&gt;""),V428/S428/Q428,"")</x:f>
      </x:c>
      <x:c r="X428" s="3" t="s">
        <x:v>1166</x:v>
      </x:c>
    </x:row>
    <x:row r="429">
      <x:c r="A429" s="12" t="s">
        <x:v>462</x:v>
      </x:c>
      <x:c r="B429" s="3" t="s">
        <x:v>570</x:v>
      </x:c>
      <x:c r="C429" s="4" t="s">
        <x:v>1167</x:v>
      </x:c>
      <x:c r="D429" s="5">
        <x:v>306</x:v>
      </x:c>
      <x:c r="E429" s="13"/>
      <x:c r="F429" s="13"/>
      <x:c r="G429" s="13"/>
      <x:c r="H429" s="13"/>
      <x:c r="I429" s="13"/>
      <x:c r="J429" s="13"/>
      <x:c r="K429" s="13"/>
      <x:c r="L429" s="13"/>
      <x:c r="M429" s="13"/>
      <x:c r="N429" s="13">
        <x:v>1</x:v>
      </x:c>
      <x:c r="O429" s="13">
        <x:v>1</x:v>
      </x:c>
      <x:c r="P429" s="13">
        <x:v>1</x:v>
      </x:c>
      <x:c r="Q429" s="13" t="n">
        <x:f>COUNT(E429:P429)</x:f>
        <x:v>3</x:v>
      </x:c>
      <x:c r="R429" s="13" t="n">
        <x:f>SUM(E429:P429)</x:f>
        <x:v>3</x:v>
      </x:c>
      <x:c r="S429" s="14" t="n">
        <x:f>IF(Q429&gt;0,R429/Q429,"")</x:f>
        <x:v>1</x:v>
      </x:c>
      <x:c r="T429" s="15">
        <x:v>0</x:v>
      </x:c>
      <x:c r="U429" s="15">
        <x:v>0</x:v>
      </x:c>
      <x:c r="V429" s="14"/>
      <x:c r="W429" s="14" t="str">
        <x:f>IF(AND(Q429&gt;0,S429&gt;0,V429&lt;&gt;""),V429/S429/Q429,"")</x:f>
      </x:c>
      <x:c r="X429" s="3" t="s">
        <x:v>1168</x:v>
      </x:c>
    </x:row>
    <x:row r="430">
      <x:c r="A430" s="12" t="s">
        <x:v>207</x:v>
      </x:c>
      <x:c r="B430" s="3" t="s">
        <x:v>376</x:v>
      </x:c>
      <x:c r="C430" s="4" t="s">
        <x:v>1169</x:v>
      </x:c>
      <x:c r="D430" s="5">
        <x:v>306</x:v>
      </x:c>
      <x:c r="E430" s="13"/>
      <x:c r="F430" s="13"/>
      <x:c r="G430" s="13"/>
      <x:c r="H430" s="13"/>
      <x:c r="I430" s="13"/>
      <x:c r="J430" s="13"/>
      <x:c r="K430" s="13"/>
      <x:c r="L430" s="13"/>
      <x:c r="M430" s="13"/>
      <x:c r="N430" s="13"/>
      <x:c r="O430" s="13"/>
      <x:c r="P430" s="13"/>
      <x:c r="Q430" s="13" t="n">
        <x:f>COUNT(E430:P430)</x:f>
        <x:v>0</x:v>
      </x:c>
      <x:c r="R430" s="13" t="n">
        <x:f>SUM(E430:P430)</x:f>
        <x:v>0</x:v>
      </x:c>
      <x:c r="S430" s="14" t="str">
        <x:f>IF(Q430&gt;0,R430/Q430,"")</x:f>
      </x:c>
      <x:c r="T430" s="15"/>
      <x:c r="U430" s="15"/>
      <x:c r="V430" s="14"/>
      <x:c r="W430" s="14" t="str">
        <x:f>IF(AND(Q430&gt;0,S430&gt;0,V430&lt;&gt;""),V430/S430/Q430,"")</x:f>
      </x:c>
      <x:c r="X430" s="3" t="s">
        <x:v>1170</x:v>
      </x:c>
    </x:row>
    <x:row r="431">
      <x:c r="A431" s="12" t="s">
        <x:v>1171</x:v>
      </x:c>
      <x:c r="B431" s="3">
        <x:v>0</x:v>
      </x:c>
      <x:c r="C431" s="4" t="s">
        <x:v>1172</x:v>
      </x:c>
      <x:c r="D431" s="5">
        <x:v>306</x:v>
      </x:c>
      <x:c r="E431" s="13"/>
      <x:c r="F431" s="13"/>
      <x:c r="G431" s="13"/>
      <x:c r="H431" s="13"/>
      <x:c r="I431" s="13"/>
      <x:c r="J431" s="13"/>
      <x:c r="K431" s="13"/>
      <x:c r="L431" s="13"/>
      <x:c r="M431" s="13"/>
      <x:c r="N431" s="13"/>
      <x:c r="O431" s="13"/>
      <x:c r="P431" s="13"/>
      <x:c r="Q431" s="13" t="n">
        <x:f>COUNT(E431:P431)</x:f>
        <x:v>0</x:v>
      </x:c>
      <x:c r="R431" s="13" t="n">
        <x:f>SUM(E431:P431)</x:f>
        <x:v>0</x:v>
      </x:c>
      <x:c r="S431" s="14" t="str">
        <x:f>IF(Q431&gt;0,R431/Q431,"")</x:f>
      </x:c>
      <x:c r="T431" s="15"/>
      <x:c r="U431" s="15"/>
      <x:c r="V431" s="14"/>
      <x:c r="W431" s="14" t="str">
        <x:f>IF(AND(Q431&gt;0,S431&gt;0,V431&lt;&gt;""),V431/S431/Q431,"")</x:f>
      </x:c>
      <x:c r="X431" s="3" t="s">
        <x:v>1173</x:v>
      </x:c>
    </x:row>
    <x:row r="432">
      <x:c r="A432" s="12" t="s">
        <x:v>708</x:v>
      </x:c>
      <x:c r="B432" s="3" t="s">
        <x:v>798</x:v>
      </x:c>
      <x:c r="C432" s="4" t="s">
        <x:v>1174</x:v>
      </x:c>
      <x:c r="D432" s="5">
        <x:v>306</x:v>
      </x:c>
      <x:c r="E432" s="13"/>
      <x:c r="F432" s="13"/>
      <x:c r="G432" s="13"/>
      <x:c r="H432" s="13"/>
      <x:c r="I432" s="13"/>
      <x:c r="J432" s="13"/>
      <x:c r="K432" s="13"/>
      <x:c r="L432" s="13"/>
      <x:c r="M432" s="13"/>
      <x:c r="N432" s="13"/>
      <x:c r="O432" s="13"/>
      <x:c r="P432" s="13"/>
      <x:c r="Q432" s="13" t="n">
        <x:f>COUNT(E432:P432)</x:f>
        <x:v>0</x:v>
      </x:c>
      <x:c r="R432" s="13" t="n">
        <x:f>SUM(E432:P432)</x:f>
        <x:v>0</x:v>
      </x:c>
      <x:c r="S432" s="14" t="str">
        <x:f>IF(Q432&gt;0,R432/Q432,"")</x:f>
      </x:c>
      <x:c r="T432" s="15">
        <x:v>0</x:v>
      </x:c>
      <x:c r="U432" s="15">
        <x:v>0</x:v>
      </x:c>
      <x:c r="V432" s="14"/>
      <x:c r="W432" s="14" t="str">
        <x:f>IF(AND(Q432&gt;0,S432&gt;0,V432&lt;&gt;""),V432/S432/Q432,"")</x:f>
      </x:c>
      <x:c r="X432" s="3" t="s">
        <x:v>1175</x:v>
      </x:c>
    </x:row>
    <x:row r="433">
      <x:c r="A433" s="12" t="s">
        <x:v>332</x:v>
      </x:c>
      <x:c r="B433" s="3" t="s">
        <x:v>801</x:v>
      </x:c>
      <x:c r="C433" s="4" t="s">
        <x:v>1176</x:v>
      </x:c>
      <x:c r="D433" s="5">
        <x:v>306</x:v>
      </x:c>
      <x:c r="E433" s="13"/>
      <x:c r="F433" s="13"/>
      <x:c r="G433" s="13"/>
      <x:c r="H433" s="13"/>
      <x:c r="I433" s="13"/>
      <x:c r="J433" s="13"/>
      <x:c r="K433" s="13"/>
      <x:c r="L433" s="13"/>
      <x:c r="M433" s="13"/>
      <x:c r="N433" s="13"/>
      <x:c r="O433" s="13"/>
      <x:c r="P433" s="13"/>
      <x:c r="Q433" s="13" t="n">
        <x:f>COUNT(E433:P433)</x:f>
        <x:v>0</x:v>
      </x:c>
      <x:c r="R433" s="13" t="n">
        <x:f>SUM(E433:P433)</x:f>
        <x:v>0</x:v>
      </x:c>
      <x:c r="S433" s="14" t="str">
        <x:f>IF(Q433&gt;0,R433/Q433,"")</x:f>
      </x:c>
      <x:c r="T433" s="15"/>
      <x:c r="U433" s="15"/>
      <x:c r="V433" s="14"/>
      <x:c r="W433" s="14" t="str">
        <x:f>IF(AND(Q433&gt;0,S433&gt;0,V433&lt;&gt;""),V433/S433/Q433,"")</x:f>
      </x:c>
      <x:c r="X433" s="3" t="s">
        <x:v>1177</x:v>
      </x:c>
    </x:row>
    <x:row r="434">
      <x:c r="A434" s="12" t="s">
        <x:v>336</x:v>
      </x:c>
      <x:c r="B434" s="3" t="s">
        <x:v>337</x:v>
      </x:c>
      <x:c r="C434" s="4" t="s">
        <x:v>1178</x:v>
      </x:c>
      <x:c r="D434" s="5">
        <x:v>306</x:v>
      </x:c>
      <x:c r="E434" s="13"/>
      <x:c r="F434" s="13"/>
      <x:c r="G434" s="13"/>
      <x:c r="H434" s="13"/>
      <x:c r="I434" s="13"/>
      <x:c r="J434" s="13"/>
      <x:c r="K434" s="13"/>
      <x:c r="L434" s="13"/>
      <x:c r="M434" s="13"/>
      <x:c r="N434" s="13"/>
      <x:c r="O434" s="13"/>
      <x:c r="P434" s="13"/>
      <x:c r="Q434" s="13" t="n">
        <x:f>COUNT(E434:P434)</x:f>
        <x:v>0</x:v>
      </x:c>
      <x:c r="R434" s="13" t="n">
        <x:f>SUM(E434:P434)</x:f>
        <x:v>0</x:v>
      </x:c>
      <x:c r="S434" s="14" t="str">
        <x:f>IF(Q434&gt;0,R434/Q434,"")</x:f>
      </x:c>
      <x:c r="T434" s="15"/>
      <x:c r="U434" s="15"/>
      <x:c r="V434" s="14"/>
      <x:c r="W434" s="14" t="str">
        <x:f>IF(AND(Q434&gt;0,S434&gt;0,V434&lt;&gt;""),V434/S434/Q434,"")</x:f>
      </x:c>
      <x:c r="X434" s="3" t="s">
        <x:v>1179</x:v>
      </x:c>
    </x:row>
    <x:row r="435">
      <x:c r="A435" s="12" t="s">
        <x:v>1180</x:v>
      </x:c>
      <x:c r="B435" s="3" t="s">
        <x:v>1181</x:v>
      </x:c>
      <x:c r="C435" s="4" t="s">
        <x:v>1182</x:v>
      </x:c>
      <x:c r="D435" s="5">
        <x:v>306</x:v>
      </x:c>
      <x:c r="E435" s="13">
        <x:v>1</x:v>
      </x:c>
      <x:c r="F435" s="13">
        <x:v>1</x:v>
      </x:c>
      <x:c r="G435" s="13">
        <x:v>1</x:v>
      </x:c>
      <x:c r="H435" s="13">
        <x:v>1</x:v>
      </x:c>
      <x:c r="I435" s="13">
        <x:v>1</x:v>
      </x:c>
      <x:c r="J435" s="13">
        <x:v>1</x:v>
      </x:c>
      <x:c r="K435" s="13">
        <x:v>1</x:v>
      </x:c>
      <x:c r="L435" s="13">
        <x:v>1</x:v>
      </x:c>
      <x:c r="M435" s="13">
        <x:v>1</x:v>
      </x:c>
      <x:c r="N435" s="13">
        <x:v>1</x:v>
      </x:c>
      <x:c r="O435" s="13">
        <x:v>1</x:v>
      </x:c>
      <x:c r="P435" s="13">
        <x:v>1</x:v>
      </x:c>
      <x:c r="Q435" s="13" t="n">
        <x:f>COUNT(E435:P435)</x:f>
        <x:v>12</x:v>
      </x:c>
      <x:c r="R435" s="13" t="n">
        <x:f>SUM(E435:P435)</x:f>
        <x:v>12</x:v>
      </x:c>
      <x:c r="S435" s="14" t="n">
        <x:f>IF(Q435&gt;0,R435/Q435,"")</x:f>
        <x:v>1</x:v>
      </x:c>
      <x:c r="T435" s="15">
        <x:v>0</x:v>
      </x:c>
      <x:c r="U435" s="15">
        <x:v>0</x:v>
      </x:c>
      <x:c r="V435" s="14"/>
      <x:c r="W435" s="14" t="str">
        <x:f>IF(AND(Q435&gt;0,S435&gt;0,V435&lt;&gt;""),V435/S435/Q435,"")</x:f>
      </x:c>
      <x:c r="X435" s="3" t="s">
        <x:v>1183</x:v>
      </x:c>
    </x:row>
    <x:row r="436">
      <x:c r="A436" s="12" t="s">
        <x:v>1171</x:v>
      </x:c>
      <x:c r="B436" s="3">
        <x:v>0</x:v>
      </x:c>
      <x:c r="C436" s="4" t="s">
        <x:v>1184</x:v>
      </x:c>
      <x:c r="D436" s="5">
        <x:v>306</x:v>
      </x:c>
      <x:c r="E436" s="13"/>
      <x:c r="F436" s="13"/>
      <x:c r="G436" s="13"/>
      <x:c r="H436" s="13"/>
      <x:c r="I436" s="13"/>
      <x:c r="J436" s="13"/>
      <x:c r="K436" s="13"/>
      <x:c r="L436" s="13"/>
      <x:c r="M436" s="13"/>
      <x:c r="N436" s="13"/>
      <x:c r="O436" s="13"/>
      <x:c r="P436" s="13"/>
      <x:c r="Q436" s="13" t="n">
        <x:f>COUNT(E436:P436)</x:f>
        <x:v>0</x:v>
      </x:c>
      <x:c r="R436" s="13" t="n">
        <x:f>SUM(E436:P436)</x:f>
        <x:v>0</x:v>
      </x:c>
      <x:c r="S436" s="14" t="str">
        <x:f>IF(Q436&gt;0,R436/Q436,"")</x:f>
      </x:c>
      <x:c r="T436" s="15"/>
      <x:c r="U436" s="15"/>
      <x:c r="V436" s="14"/>
      <x:c r="W436" s="14" t="str">
        <x:f>IF(AND(Q436&gt;0,S436&gt;0,V436&lt;&gt;""),V436/S436/Q436,"")</x:f>
      </x:c>
      <x:c r="X436" s="3" t="s">
        <x:v>1185</x:v>
      </x:c>
    </x:row>
    <x:row r="437">
      <x:c r="A437" s="12" t="s">
        <x:v>1186</x:v>
      </x:c>
      <x:c r="B437" s="3" t="s">
        <x:v>1187</x:v>
      </x:c>
      <x:c r="C437" s="4" t="s">
        <x:v>1188</x:v>
      </x:c>
      <x:c r="D437" s="5">
        <x:v>306</x:v>
      </x:c>
      <x:c r="E437" s="13"/>
      <x:c r="F437" s="13"/>
      <x:c r="G437" s="13"/>
      <x:c r="H437" s="13"/>
      <x:c r="I437" s="13"/>
      <x:c r="J437" s="13"/>
      <x:c r="K437" s="13"/>
      <x:c r="L437" s="13"/>
      <x:c r="M437" s="13"/>
      <x:c r="N437" s="13"/>
      <x:c r="O437" s="13"/>
      <x:c r="P437" s="13"/>
      <x:c r="Q437" s="13" t="n">
        <x:f>COUNT(E437:P437)</x:f>
        <x:v>0</x:v>
      </x:c>
      <x:c r="R437" s="13" t="n">
        <x:f>SUM(E437:P437)</x:f>
        <x:v>0</x:v>
      </x:c>
      <x:c r="S437" s="14" t="str">
        <x:f>IF(Q437&gt;0,R437/Q437,"")</x:f>
      </x:c>
      <x:c r="T437" s="15"/>
      <x:c r="U437" s="15"/>
      <x:c r="V437" s="14"/>
      <x:c r="W437" s="14" t="str">
        <x:f>IF(AND(Q437&gt;0,S437&gt;0,V437&lt;&gt;""),V437/S437/Q437,"")</x:f>
      </x:c>
      <x:c r="X437" s="3" t="s">
        <x:v>1189</x:v>
      </x:c>
    </x:row>
    <x:row r="438">
      <x:c r="A438" s="12" t="s">
        <x:v>332</x:v>
      </x:c>
      <x:c r="B438" s="3" t="s">
        <x:v>801</x:v>
      </x:c>
      <x:c r="C438" s="4" t="s">
        <x:v>1190</x:v>
      </x:c>
      <x:c r="D438" s="5">
        <x:v>306</x:v>
      </x:c>
      <x:c r="E438" s="13"/>
      <x:c r="F438" s="13"/>
      <x:c r="G438" s="13"/>
      <x:c r="H438" s="13"/>
      <x:c r="I438" s="13"/>
      <x:c r="J438" s="13"/>
      <x:c r="K438" s="13"/>
      <x:c r="L438" s="13"/>
      <x:c r="M438" s="13"/>
      <x:c r="N438" s="13"/>
      <x:c r="O438" s="13"/>
      <x:c r="P438" s="13"/>
      <x:c r="Q438" s="13" t="n">
        <x:f>COUNT(E438:P438)</x:f>
        <x:v>0</x:v>
      </x:c>
      <x:c r="R438" s="13" t="n">
        <x:f>SUM(E438:P438)</x:f>
        <x:v>0</x:v>
      </x:c>
      <x:c r="S438" s="14" t="str">
        <x:f>IF(Q438&gt;0,R438/Q438,"")</x:f>
      </x:c>
      <x:c r="T438" s="15">
        <x:v>0</x:v>
      </x:c>
      <x:c r="U438" s="15"/>
      <x:c r="V438" s="14"/>
      <x:c r="W438" s="14" t="str">
        <x:f>IF(AND(Q438&gt;0,S438&gt;0,V438&lt;&gt;""),V438/S438/Q438,"")</x:f>
      </x:c>
      <x:c r="X438" s="3" t="s">
        <x:v>1191</x:v>
      </x:c>
    </x:row>
    <x:row r="439">
      <x:c r="A439" s="12" t="s">
        <x:v>220</x:v>
      </x:c>
      <x:c r="B439" s="3" t="s">
        <x:v>221</x:v>
      </x:c>
      <x:c r="C439" s="4" t="s">
        <x:v>1192</x:v>
      </x:c>
      <x:c r="D439" s="5">
        <x:v>306</x:v>
      </x:c>
      <x:c r="E439" s="13"/>
      <x:c r="F439" s="13"/>
      <x:c r="G439" s="13"/>
      <x:c r="H439" s="13"/>
      <x:c r="I439" s="13"/>
      <x:c r="J439" s="13"/>
      <x:c r="K439" s="13"/>
      <x:c r="L439" s="13"/>
      <x:c r="M439" s="13"/>
      <x:c r="N439" s="13"/>
      <x:c r="O439" s="13"/>
      <x:c r="P439" s="13"/>
      <x:c r="Q439" s="13" t="n">
        <x:f>COUNT(E439:P439)</x:f>
        <x:v>0</x:v>
      </x:c>
      <x:c r="R439" s="13" t="n">
        <x:f>SUM(E439:P439)</x:f>
        <x:v>0</x:v>
      </x:c>
      <x:c r="S439" s="14" t="str">
        <x:f>IF(Q439&gt;0,R439/Q439,"")</x:f>
      </x:c>
      <x:c r="T439" s="15"/>
      <x:c r="U439" s="15"/>
      <x:c r="V439" s="14"/>
      <x:c r="W439" s="14" t="str">
        <x:f>IF(AND(Q439&gt;0,S439&gt;0,V439&lt;&gt;""),V439/S439/Q439,"")</x:f>
      </x:c>
      <x:c r="X439" s="3" t="s">
        <x:v>1193</x:v>
      </x:c>
    </x:row>
    <x:row r="440">
      <x:c r="A440" s="12" t="s">
        <x:v>354</x:v>
      </x:c>
      <x:c r="B440" s="3" t="s">
        <x:v>355</x:v>
      </x:c>
      <x:c r="C440" s="4" t="s">
        <x:v>1194</x:v>
      </x:c>
      <x:c r="D440" s="5">
        <x:v>306</x:v>
      </x:c>
      <x:c r="E440" s="13"/>
      <x:c r="F440" s="13"/>
      <x:c r="G440" s="13"/>
      <x:c r="H440" s="13"/>
      <x:c r="I440" s="13"/>
      <x:c r="J440" s="13"/>
      <x:c r="K440" s="13"/>
      <x:c r="L440" s="13"/>
      <x:c r="M440" s="13"/>
      <x:c r="N440" s="13"/>
      <x:c r="O440" s="13"/>
      <x:c r="P440" s="13"/>
      <x:c r="Q440" s="13" t="n">
        <x:f>COUNT(E440:P440)</x:f>
        <x:v>0</x:v>
      </x:c>
      <x:c r="R440" s="13" t="n">
        <x:f>SUM(E440:P440)</x:f>
        <x:v>0</x:v>
      </x:c>
      <x:c r="S440" s="14" t="str">
        <x:f>IF(Q440&gt;0,R440/Q440,"")</x:f>
      </x:c>
      <x:c r="T440" s="15">
        <x:v>0</x:v>
      </x:c>
      <x:c r="U440" s="15"/>
      <x:c r="V440" s="14"/>
      <x:c r="W440" s="14" t="str">
        <x:f>IF(AND(Q440&gt;0,S440&gt;0,V440&lt;&gt;""),V440/S440/Q440,"")</x:f>
      </x:c>
      <x:c r="X440" s="3" t="s">
        <x:v>1195</x:v>
      </x:c>
    </x:row>
    <x:row r="441">
      <x:c r="A441" s="12" t="s">
        <x:v>1196</x:v>
      </x:c>
      <x:c r="B441" s="3" t="s">
        <x:v>1197</x:v>
      </x:c>
      <x:c r="C441" s="4" t="s">
        <x:v>1198</x:v>
      </x:c>
      <x:c r="D441" s="5">
        <x:v>306</x:v>
      </x:c>
      <x:c r="E441" s="13"/>
      <x:c r="F441" s="13"/>
      <x:c r="G441" s="13"/>
      <x:c r="H441" s="13"/>
      <x:c r="I441" s="13"/>
      <x:c r="J441" s="13"/>
      <x:c r="K441" s="13"/>
      <x:c r="L441" s="13"/>
      <x:c r="M441" s="13"/>
      <x:c r="N441" s="13"/>
      <x:c r="O441" s="13"/>
      <x:c r="P441" s="13"/>
      <x:c r="Q441" s="13" t="n">
        <x:f>COUNT(E441:P441)</x:f>
        <x:v>0</x:v>
      </x:c>
      <x:c r="R441" s="13" t="n">
        <x:f>SUM(E441:P441)</x:f>
        <x:v>0</x:v>
      </x:c>
      <x:c r="S441" s="14" t="str">
        <x:f>IF(Q441&gt;0,R441/Q441,"")</x:f>
      </x:c>
      <x:c r="T441" s="15"/>
      <x:c r="U441" s="15"/>
      <x:c r="V441" s="14"/>
      <x:c r="W441" s="14" t="str">
        <x:f>IF(AND(Q441&gt;0,S441&gt;0,V441&lt;&gt;""),V441/S441/Q441,"")</x:f>
      </x:c>
      <x:c r="X441" s="3" t="s">
        <x:v>1199</x:v>
      </x:c>
    </x:row>
    <x:row r="442">
      <x:c r="A442" s="12" t="s">
        <x:v>1200</x:v>
      </x:c>
      <x:c r="B442" s="3" t="s">
        <x:v>1201</x:v>
      </x:c>
      <x:c r="C442" s="4" t="s">
        <x:v>1202</x:v>
      </x:c>
      <x:c r="D442" s="5">
        <x:v>306</x:v>
      </x:c>
      <x:c r="E442" s="13"/>
      <x:c r="F442" s="13"/>
      <x:c r="G442" s="13"/>
      <x:c r="H442" s="13"/>
      <x:c r="I442" s="13"/>
      <x:c r="J442" s="13"/>
      <x:c r="K442" s="13"/>
      <x:c r="L442" s="13"/>
      <x:c r="M442" s="13"/>
      <x:c r="N442" s="13"/>
      <x:c r="O442" s="13"/>
      <x:c r="P442" s="13"/>
      <x:c r="Q442" s="13" t="n">
        <x:f>COUNT(E442:P442)</x:f>
        <x:v>0</x:v>
      </x:c>
      <x:c r="R442" s="13" t="n">
        <x:f>SUM(E442:P442)</x:f>
        <x:v>0</x:v>
      </x:c>
      <x:c r="S442" s="14" t="str">
        <x:f>IF(Q442&gt;0,R442/Q442,"")</x:f>
      </x:c>
      <x:c r="T442" s="15"/>
      <x:c r="U442" s="15"/>
      <x:c r="V442" s="14"/>
      <x:c r="W442" s="14" t="str">
        <x:f>IF(AND(Q442&gt;0,S442&gt;0,V442&lt;&gt;""),V442/S442/Q442,"")</x:f>
      </x:c>
      <x:c r="X442" s="3" t="s">
        <x:v>1203</x:v>
      </x:c>
    </x:row>
    <x:row r="443">
      <x:c r="A443" s="12" t="s">
        <x:v>1204</x:v>
      </x:c>
      <x:c r="B443" s="3" t="s">
        <x:v>1205</x:v>
      </x:c>
      <x:c r="C443" s="4" t="s">
        <x:v>1206</x:v>
      </x:c>
      <x:c r="D443" s="5">
        <x:v>306</x:v>
      </x:c>
      <x:c r="E443" s="13"/>
      <x:c r="F443" s="13"/>
      <x:c r="G443" s="13"/>
      <x:c r="H443" s="13"/>
      <x:c r="I443" s="13"/>
      <x:c r="J443" s="13"/>
      <x:c r="K443" s="13"/>
      <x:c r="L443" s="13"/>
      <x:c r="M443" s="13"/>
      <x:c r="N443" s="13"/>
      <x:c r="O443" s="13"/>
      <x:c r="P443" s="13"/>
      <x:c r="Q443" s="13" t="n">
        <x:f>COUNT(E443:P443)</x:f>
        <x:v>0</x:v>
      </x:c>
      <x:c r="R443" s="13" t="n">
        <x:f>SUM(E443:P443)</x:f>
        <x:v>0</x:v>
      </x:c>
      <x:c r="S443" s="14" t="str">
        <x:f>IF(Q443&gt;0,R443/Q443,"")</x:f>
      </x:c>
      <x:c r="T443" s="15"/>
      <x:c r="U443" s="15"/>
      <x:c r="V443" s="14"/>
      <x:c r="W443" s="14" t="str">
        <x:f>IF(AND(Q443&gt;0,S443&gt;0,V443&lt;&gt;""),V443/S443/Q443,"")</x:f>
      </x:c>
      <x:c r="X443" s="3" t="s">
        <x:v>1207</x:v>
      </x:c>
    </x:row>
    <x:row r="444">
      <x:c r="A444" s="12" t="s">
        <x:v>1171</x:v>
      </x:c>
      <x:c r="B444" s="3">
        <x:v>0</x:v>
      </x:c>
      <x:c r="C444" s="4" t="s">
        <x:v>1208</x:v>
      </x:c>
      <x:c r="D444" s="5">
        <x:v>306</x:v>
      </x:c>
      <x:c r="E444" s="13"/>
      <x:c r="F444" s="13"/>
      <x:c r="G444" s="13"/>
      <x:c r="H444" s="13"/>
      <x:c r="I444" s="13"/>
      <x:c r="J444" s="13"/>
      <x:c r="K444" s="13"/>
      <x:c r="L444" s="13"/>
      <x:c r="M444" s="13"/>
      <x:c r="N444" s="13"/>
      <x:c r="O444" s="13"/>
      <x:c r="P444" s="13"/>
      <x:c r="Q444" s="13" t="n">
        <x:f>COUNT(E444:P444)</x:f>
        <x:v>0</x:v>
      </x:c>
      <x:c r="R444" s="13" t="n">
        <x:f>SUM(E444:P444)</x:f>
        <x:v>0</x:v>
      </x:c>
      <x:c r="S444" s="14" t="str">
        <x:f>IF(Q444&gt;0,R444/Q444,"")</x:f>
      </x:c>
      <x:c r="T444" s="15"/>
      <x:c r="U444" s="15"/>
      <x:c r="V444" s="14"/>
      <x:c r="W444" s="14" t="str">
        <x:f>IF(AND(Q444&gt;0,S444&gt;0,V444&lt;&gt;""),V444/S444/Q444,"")</x:f>
      </x:c>
      <x:c r="X444" s="3" t="s">
        <x:v>1209</x:v>
      </x:c>
    </x:row>
    <x:row r="445">
      <x:c r="A445" s="12" t="s">
        <x:v>1171</x:v>
      </x:c>
      <x:c r="B445" s="3">
        <x:v>0</x:v>
      </x:c>
      <x:c r="C445" s="4" t="s">
        <x:v>1210</x:v>
      </x:c>
      <x:c r="D445" s="5">
        <x:v>306</x:v>
      </x:c>
      <x:c r="E445" s="13"/>
      <x:c r="F445" s="13"/>
      <x:c r="G445" s="13"/>
      <x:c r="H445" s="13"/>
      <x:c r="I445" s="13"/>
      <x:c r="J445" s="13"/>
      <x:c r="K445" s="13"/>
      <x:c r="L445" s="13"/>
      <x:c r="M445" s="13"/>
      <x:c r="N445" s="13"/>
      <x:c r="O445" s="13"/>
      <x:c r="P445" s="13"/>
      <x:c r="Q445" s="13" t="n">
        <x:f>COUNT(E445:P445)</x:f>
        <x:v>0</x:v>
      </x:c>
      <x:c r="R445" s="13" t="n">
        <x:f>SUM(E445:P445)</x:f>
        <x:v>0</x:v>
      </x:c>
      <x:c r="S445" s="14" t="str">
        <x:f>IF(Q445&gt;0,R445/Q445,"")</x:f>
      </x:c>
      <x:c r="T445" s="15"/>
      <x:c r="U445" s="15"/>
      <x:c r="V445" s="14"/>
      <x:c r="W445" s="14" t="str">
        <x:f>IF(AND(Q445&gt;0,S445&gt;0,V445&lt;&gt;""),V445/S445/Q445,"")</x:f>
      </x:c>
      <x:c r="X445" s="3" t="s">
        <x:v>1211</x:v>
      </x:c>
    </x:row>
    <x:row r="446">
      <x:c r="A446" s="12" t="s">
        <x:v>220</x:v>
      </x:c>
      <x:c r="B446" s="3" t="s">
        <x:v>221</x:v>
      </x:c>
      <x:c r="C446" s="4" t="s">
        <x:v>1212</x:v>
      </x:c>
      <x:c r="D446" s="5">
        <x:v>306</x:v>
      </x:c>
      <x:c r="E446" s="13"/>
      <x:c r="F446" s="13"/>
      <x:c r="G446" s="13"/>
      <x:c r="H446" s="13"/>
      <x:c r="I446" s="13"/>
      <x:c r="J446" s="13"/>
      <x:c r="K446" s="13"/>
      <x:c r="L446" s="13"/>
      <x:c r="M446" s="13"/>
      <x:c r="N446" s="13"/>
      <x:c r="O446" s="13"/>
      <x:c r="P446" s="13"/>
      <x:c r="Q446" s="13" t="n">
        <x:f>COUNT(E446:P446)</x:f>
        <x:v>0</x:v>
      </x:c>
      <x:c r="R446" s="13" t="n">
        <x:f>SUM(E446:P446)</x:f>
        <x:v>0</x:v>
      </x:c>
      <x:c r="S446" s="14" t="str">
        <x:f>IF(Q446&gt;0,R446/Q446,"")</x:f>
      </x:c>
      <x:c r="T446" s="15"/>
      <x:c r="U446" s="15"/>
      <x:c r="V446" s="14"/>
      <x:c r="W446" s="14" t="str">
        <x:f>IF(AND(Q446&gt;0,S446&gt;0,V446&lt;&gt;""),V446/S446/Q446,"")</x:f>
      </x:c>
      <x:c r="X446" s="3" t="s">
        <x:v>1213</x:v>
      </x:c>
    </x:row>
    <x:row r="447">
      <x:c r="A447" s="12" t="s">
        <x:v>220</x:v>
      </x:c>
      <x:c r="B447" s="3" t="s">
        <x:v>221</x:v>
      </x:c>
      <x:c r="C447" s="4" t="s">
        <x:v>1214</x:v>
      </x:c>
      <x:c r="D447" s="5">
        <x:v>306</x:v>
      </x:c>
      <x:c r="E447" s="13"/>
      <x:c r="F447" s="13"/>
      <x:c r="G447" s="13"/>
      <x:c r="H447" s="13"/>
      <x:c r="I447" s="13"/>
      <x:c r="J447" s="13"/>
      <x:c r="K447" s="13"/>
      <x:c r="L447" s="13"/>
      <x:c r="M447" s="13"/>
      <x:c r="N447" s="13"/>
      <x:c r="O447" s="13"/>
      <x:c r="P447" s="13"/>
      <x:c r="Q447" s="13" t="n">
        <x:f>COUNT(E447:P447)</x:f>
        <x:v>0</x:v>
      </x:c>
      <x:c r="R447" s="13" t="n">
        <x:f>SUM(E447:P447)</x:f>
        <x:v>0</x:v>
      </x:c>
      <x:c r="S447" s="14" t="str">
        <x:f>IF(Q447&gt;0,R447/Q447,"")</x:f>
      </x:c>
      <x:c r="T447" s="15"/>
      <x:c r="U447" s="15"/>
      <x:c r="V447" s="14"/>
      <x:c r="W447" s="14" t="str">
        <x:f>IF(AND(Q447&gt;0,S447&gt;0,V447&lt;&gt;""),V447/S447/Q447,"")</x:f>
      </x:c>
      <x:c r="X447" s="3" t="s">
        <x:v>1215</x:v>
      </x:c>
    </x:row>
    <x:row r="448">
      <x:c r="A448" s="12" t="s">
        <x:v>220</x:v>
      </x:c>
      <x:c r="B448" s="3" t="s">
        <x:v>605</x:v>
      </x:c>
      <x:c r="C448" s="4" t="s">
        <x:v>1216</x:v>
      </x:c>
      <x:c r="D448" s="5">
        <x:v>306</x:v>
      </x:c>
      <x:c r="E448" s="13"/>
      <x:c r="F448" s="13"/>
      <x:c r="G448" s="13"/>
      <x:c r="H448" s="13"/>
      <x:c r="I448" s="13"/>
      <x:c r="J448" s="13"/>
      <x:c r="K448" s="13"/>
      <x:c r="L448" s="13"/>
      <x:c r="M448" s="13"/>
      <x:c r="N448" s="13"/>
      <x:c r="O448" s="13"/>
      <x:c r="P448" s="13"/>
      <x:c r="Q448" s="13" t="n">
        <x:f>COUNT(E448:P448)</x:f>
        <x:v>0</x:v>
      </x:c>
      <x:c r="R448" s="13" t="n">
        <x:f>SUM(E448:P448)</x:f>
        <x:v>0</x:v>
      </x:c>
      <x:c r="S448" s="14" t="str">
        <x:f>IF(Q448&gt;0,R448/Q448,"")</x:f>
      </x:c>
      <x:c r="T448" s="15"/>
      <x:c r="U448" s="15"/>
      <x:c r="V448" s="14"/>
      <x:c r="W448" s="14" t="str">
        <x:f>IF(AND(Q448&gt;0,S448&gt;0,V448&lt;&gt;""),V448/S448/Q448,"")</x:f>
      </x:c>
      <x:c r="X448" s="3" t="s">
        <x:v>1217</x:v>
      </x:c>
    </x:row>
    <x:row r="449">
      <x:c r="A449" s="12" t="s">
        <x:v>220</x:v>
      </x:c>
      <x:c r="B449" s="3" t="s">
        <x:v>221</x:v>
      </x:c>
      <x:c r="C449" s="4" t="s">
        <x:v>1218</x:v>
      </x:c>
      <x:c r="D449" s="5">
        <x:v>306</x:v>
      </x:c>
      <x:c r="E449" s="13"/>
      <x:c r="F449" s="13"/>
      <x:c r="G449" s="13"/>
      <x:c r="H449" s="13"/>
      <x:c r="I449" s="13"/>
      <x:c r="J449" s="13"/>
      <x:c r="K449" s="13"/>
      <x:c r="L449" s="13"/>
      <x:c r="M449" s="13"/>
      <x:c r="N449" s="13"/>
      <x:c r="O449" s="13"/>
      <x:c r="P449" s="13"/>
      <x:c r="Q449" s="13" t="n">
        <x:f>COUNT(E449:P449)</x:f>
        <x:v>0</x:v>
      </x:c>
      <x:c r="R449" s="13" t="n">
        <x:f>SUM(E449:P449)</x:f>
        <x:v>0</x:v>
      </x:c>
      <x:c r="S449" s="14" t="str">
        <x:f>IF(Q449&gt;0,R449/Q449,"")</x:f>
      </x:c>
      <x:c r="T449" s="15"/>
      <x:c r="U449" s="15"/>
      <x:c r="V449" s="14"/>
      <x:c r="W449" s="14" t="str">
        <x:f>IF(AND(Q449&gt;0,S449&gt;0,V449&lt;&gt;""),V449/S449/Q449,"")</x:f>
      </x:c>
      <x:c r="X449" s="3" t="s">
        <x:v>1219</x:v>
      </x:c>
    </x:row>
    <x:row r="450">
      <x:c r="A450" s="12" t="s">
        <x:v>1220</x:v>
      </x:c>
      <x:c r="B450" s="3" t="s">
        <x:v>1221</x:v>
      </x:c>
      <x:c r="C450" s="4" t="s">
        <x:v>1222</x:v>
      </x:c>
      <x:c r="D450" s="5">
        <x:v>306</x:v>
      </x:c>
      <x:c r="E450" s="13"/>
      <x:c r="F450" s="13"/>
      <x:c r="G450" s="13"/>
      <x:c r="H450" s="13"/>
      <x:c r="I450" s="13"/>
      <x:c r="J450" s="13"/>
      <x:c r="K450" s="13"/>
      <x:c r="L450" s="13"/>
      <x:c r="M450" s="13"/>
      <x:c r="N450" s="13"/>
      <x:c r="O450" s="13"/>
      <x:c r="P450" s="13"/>
      <x:c r="Q450" s="13" t="n">
        <x:f>COUNT(E450:P450)</x:f>
        <x:v>0</x:v>
      </x:c>
      <x:c r="R450" s="13" t="n">
        <x:f>SUM(E450:P450)</x:f>
        <x:v>0</x:v>
      </x:c>
      <x:c r="S450" s="14" t="str">
        <x:f>IF(Q450&gt;0,R450/Q450,"")</x:f>
      </x:c>
      <x:c r="T450" s="15"/>
      <x:c r="U450" s="15"/>
      <x:c r="V450" s="14"/>
      <x:c r="W450" s="14" t="str">
        <x:f>IF(AND(Q450&gt;0,S450&gt;0,V450&lt;&gt;""),V450/S450/Q450,"")</x:f>
      </x:c>
      <x:c r="X450" s="3" t="s">
        <x:v>1223</x:v>
      </x:c>
    </x:row>
    <x:row r="451">
      <x:c r="A451" s="12" t="s">
        <x:v>1224</x:v>
      </x:c>
      <x:c r="B451" s="3" t="s">
        <x:v>1225</x:v>
      </x:c>
      <x:c r="C451" s="4" t="s">
        <x:v>1226</x:v>
      </x:c>
      <x:c r="D451" s="5">
        <x:v>306</x:v>
      </x:c>
      <x:c r="E451" s="13"/>
      <x:c r="F451" s="13"/>
      <x:c r="G451" s="13"/>
      <x:c r="H451" s="13"/>
      <x:c r="I451" s="13"/>
      <x:c r="J451" s="13"/>
      <x:c r="K451" s="13"/>
      <x:c r="L451" s="13"/>
      <x:c r="M451" s="13"/>
      <x:c r="N451" s="13"/>
      <x:c r="O451" s="13"/>
      <x:c r="P451" s="13"/>
      <x:c r="Q451" s="13" t="n">
        <x:f>COUNT(E451:P451)</x:f>
        <x:v>0</x:v>
      </x:c>
      <x:c r="R451" s="13" t="n">
        <x:f>SUM(E451:P451)</x:f>
        <x:v>0</x:v>
      </x:c>
      <x:c r="S451" s="14" t="str">
        <x:f>IF(Q451&gt;0,R451/Q451,"")</x:f>
      </x:c>
      <x:c r="T451" s="15"/>
      <x:c r="U451" s="15"/>
      <x:c r="V451" s="14"/>
      <x:c r="W451" s="14" t="str">
        <x:f>IF(AND(Q451&gt;0,S451&gt;0,V451&lt;&gt;""),V451/S451/Q451,"")</x:f>
      </x:c>
      <x:c r="X451" s="3" t="s">
        <x:v>1227</x:v>
      </x:c>
    </x:row>
    <x:row r="452">
      <x:c r="A452" s="12" t="s">
        <x:v>672</x:v>
      </x:c>
      <x:c r="B452" s="3" t="s">
        <x:v>673</x:v>
      </x:c>
      <x:c r="C452" s="4" t="s">
        <x:v>1228</x:v>
      </x:c>
      <x:c r="D452" s="5">
        <x:v>306</x:v>
      </x:c>
      <x:c r="E452" s="13"/>
      <x:c r="F452" s="13"/>
      <x:c r="G452" s="13"/>
      <x:c r="H452" s="13"/>
      <x:c r="I452" s="13"/>
      <x:c r="J452" s="13"/>
      <x:c r="K452" s="13"/>
      <x:c r="L452" s="13"/>
      <x:c r="M452" s="13"/>
      <x:c r="N452" s="13"/>
      <x:c r="O452" s="13"/>
      <x:c r="P452" s="13"/>
      <x:c r="Q452" s="13" t="n">
        <x:f>COUNT(E452:P452)</x:f>
        <x:v>0</x:v>
      </x:c>
      <x:c r="R452" s="13" t="n">
        <x:f>SUM(E452:P452)</x:f>
        <x:v>0</x:v>
      </x:c>
      <x:c r="S452" s="14" t="str">
        <x:f>IF(Q452&gt;0,R452/Q452,"")</x:f>
      </x:c>
      <x:c r="T452" s="15"/>
      <x:c r="U452" s="15"/>
      <x:c r="V452" s="14"/>
      <x:c r="W452" s="14" t="str">
        <x:f>IF(AND(Q452&gt;0,S452&gt;0,V452&lt;&gt;""),V452/S452/Q452,"")</x:f>
      </x:c>
      <x:c r="X452" s="3" t="s">
        <x:v>1229</x:v>
      </x:c>
    </x:row>
    <x:row r="453">
      <x:c r="A453" s="12" t="s">
        <x:v>220</x:v>
      </x:c>
      <x:c r="B453" s="3" t="s">
        <x:v>605</x:v>
      </x:c>
      <x:c r="C453" s="4" t="s">
        <x:v>1230</x:v>
      </x:c>
      <x:c r="D453" s="5">
        <x:v>306</x:v>
      </x:c>
      <x:c r="E453" s="13"/>
      <x:c r="F453" s="13"/>
      <x:c r="G453" s="13"/>
      <x:c r="H453" s="13"/>
      <x:c r="I453" s="13"/>
      <x:c r="J453" s="13"/>
      <x:c r="K453" s="13"/>
      <x:c r="L453" s="13"/>
      <x:c r="M453" s="13"/>
      <x:c r="N453" s="13"/>
      <x:c r="O453" s="13"/>
      <x:c r="P453" s="13"/>
      <x:c r="Q453" s="13" t="n">
        <x:f>COUNT(E453:P453)</x:f>
        <x:v>0</x:v>
      </x:c>
      <x:c r="R453" s="13" t="n">
        <x:f>SUM(E453:P453)</x:f>
        <x:v>0</x:v>
      </x:c>
      <x:c r="S453" s="14" t="str">
        <x:f>IF(Q453&gt;0,R453/Q453,"")</x:f>
      </x:c>
      <x:c r="T453" s="15"/>
      <x:c r="U453" s="15"/>
      <x:c r="V453" s="14"/>
      <x:c r="W453" s="14" t="str">
        <x:f>IF(AND(Q453&gt;0,S453&gt;0,V453&lt;&gt;""),V453/S453/Q453,"")</x:f>
      </x:c>
      <x:c r="X453" s="3" t="s">
        <x:v>1231</x:v>
      </x:c>
    </x:row>
    <x:row r="454">
      <x:c r="A454" s="12" t="s">
        <x:v>408</x:v>
      </x:c>
      <x:c r="B454" s="3" t="s">
        <x:v>409</x:v>
      </x:c>
      <x:c r="C454" s="4" t="s">
        <x:v>1232</x:v>
      </x:c>
      <x:c r="D454" s="5">
        <x:v>306</x:v>
      </x:c>
      <x:c r="E454" s="13"/>
      <x:c r="F454" s="13"/>
      <x:c r="G454" s="13"/>
      <x:c r="H454" s="13"/>
      <x:c r="I454" s="13"/>
      <x:c r="J454" s="13"/>
      <x:c r="K454" s="13"/>
      <x:c r="L454" s="13"/>
      <x:c r="M454" s="13"/>
      <x:c r="N454" s="13"/>
      <x:c r="O454" s="13"/>
      <x:c r="P454" s="13"/>
      <x:c r="Q454" s="13" t="n">
        <x:f>COUNT(E454:P454)</x:f>
        <x:v>0</x:v>
      </x:c>
      <x:c r="R454" s="13" t="n">
        <x:f>SUM(E454:P454)</x:f>
        <x:v>0</x:v>
      </x:c>
      <x:c r="S454" s="14" t="str">
        <x:f>IF(Q454&gt;0,R454/Q454,"")</x:f>
      </x:c>
      <x:c r="T454" s="15"/>
      <x:c r="U454" s="15"/>
      <x:c r="V454" s="14"/>
      <x:c r="W454" s="14" t="str">
        <x:f>IF(AND(Q454&gt;0,S454&gt;0,V454&lt;&gt;""),V454/S454/Q454,"")</x:f>
      </x:c>
      <x:c r="X454" s="3" t="s">
        <x:v>1233</x:v>
      </x:c>
    </x:row>
    <x:row r="455">
      <x:c r="A455" s="12" t="s">
        <x:v>220</x:v>
      </x:c>
      <x:c r="B455" s="3" t="s">
        <x:v>221</x:v>
      </x:c>
      <x:c r="C455" s="4" t="s">
        <x:v>1234</x:v>
      </x:c>
      <x:c r="D455" s="5">
        <x:v>306</x:v>
      </x:c>
      <x:c r="E455" s="13"/>
      <x:c r="F455" s="13"/>
      <x:c r="G455" s="13"/>
      <x:c r="H455" s="13"/>
      <x:c r="I455" s="13"/>
      <x:c r="J455" s="13"/>
      <x:c r="K455" s="13"/>
      <x:c r="L455" s="13"/>
      <x:c r="M455" s="13"/>
      <x:c r="N455" s="13"/>
      <x:c r="O455" s="13"/>
      <x:c r="P455" s="13"/>
      <x:c r="Q455" s="13" t="n">
        <x:f>COUNT(E455:P455)</x:f>
        <x:v>0</x:v>
      </x:c>
      <x:c r="R455" s="13" t="n">
        <x:f>SUM(E455:P455)</x:f>
        <x:v>0</x:v>
      </x:c>
      <x:c r="S455" s="14" t="str">
        <x:f>IF(Q455&gt;0,R455/Q455,"")</x:f>
      </x:c>
      <x:c r="T455" s="15"/>
      <x:c r="U455" s="15"/>
      <x:c r="V455" s="14"/>
      <x:c r="W455" s="14" t="str">
        <x:f>IF(AND(Q455&gt;0,S455&gt;0,V455&lt;&gt;""),V455/S455/Q455,"")</x:f>
      </x:c>
      <x:c r="X455" s="3" t="s">
        <x:v>1235</x:v>
      </x:c>
    </x:row>
    <x:row r="456">
      <x:c r="A456" s="12" t="s">
        <x:v>1236</x:v>
      </x:c>
      <x:c r="B456" s="3" t="s">
        <x:v>1237</x:v>
      </x:c>
      <x:c r="C456" s="4" t="s">
        <x:v>1238</x:v>
      </x:c>
      <x:c r="D456" s="5">
        <x:v>306</x:v>
      </x:c>
      <x:c r="E456" s="13"/>
      <x:c r="F456" s="13"/>
      <x:c r="G456" s="13"/>
      <x:c r="H456" s="13"/>
      <x:c r="I456" s="13"/>
      <x:c r="J456" s="13"/>
      <x:c r="K456" s="13"/>
      <x:c r="L456" s="13"/>
      <x:c r="M456" s="13"/>
      <x:c r="N456" s="13"/>
      <x:c r="O456" s="13"/>
      <x:c r="P456" s="13"/>
      <x:c r="Q456" s="13" t="n">
        <x:f>COUNT(E456:P456)</x:f>
        <x:v>0</x:v>
      </x:c>
      <x:c r="R456" s="13" t="n">
        <x:f>SUM(E456:P456)</x:f>
        <x:v>0</x:v>
      </x:c>
      <x:c r="S456" s="14" t="str">
        <x:f>IF(Q456&gt;0,R456/Q456,"")</x:f>
      </x:c>
      <x:c r="T456" s="15"/>
      <x:c r="U456" s="15"/>
      <x:c r="V456" s="14"/>
      <x:c r="W456" s="14" t="str">
        <x:f>IF(AND(Q456&gt;0,S456&gt;0,V456&lt;&gt;""),V456/S456/Q456,"")</x:f>
      </x:c>
      <x:c r="X456" s="3" t="s">
        <x:v>1239</x:v>
      </x:c>
    </x:row>
    <x:row r="457">
      <x:c r="A457" s="12" t="s">
        <x:v>408</x:v>
      </x:c>
      <x:c r="B457" s="3" t="s">
        <x:v>409</x:v>
      </x:c>
      <x:c r="C457" s="4" t="s">
        <x:v>1240</x:v>
      </x:c>
      <x:c r="D457" s="5">
        <x:v>306</x:v>
      </x:c>
      <x:c r="E457" s="13"/>
      <x:c r="F457" s="13"/>
      <x:c r="G457" s="13"/>
      <x:c r="H457" s="13"/>
      <x:c r="I457" s="13"/>
      <x:c r="J457" s="13"/>
      <x:c r="K457" s="13"/>
      <x:c r="L457" s="13"/>
      <x:c r="M457" s="13"/>
      <x:c r="N457" s="13"/>
      <x:c r="O457" s="13"/>
      <x:c r="P457" s="13"/>
      <x:c r="Q457" s="13" t="n">
        <x:f>COUNT(E457:P457)</x:f>
        <x:v>0</x:v>
      </x:c>
      <x:c r="R457" s="13" t="n">
        <x:f>SUM(E457:P457)</x:f>
        <x:v>0</x:v>
      </x:c>
      <x:c r="S457" s="14" t="str">
        <x:f>IF(Q457&gt;0,R457/Q457,"")</x:f>
      </x:c>
      <x:c r="T457" s="15"/>
      <x:c r="U457" s="15"/>
      <x:c r="V457" s="14"/>
      <x:c r="W457" s="14" t="str">
        <x:f>IF(AND(Q457&gt;0,S457&gt;0,V457&lt;&gt;""),V457/S457/Q457,"")</x:f>
      </x:c>
      <x:c r="X457" s="3" t="s">
        <x:v>1241</x:v>
      </x:c>
    </x:row>
    <x:row r="458">
      <x:c r="A458" s="12" t="s">
        <x:v>1171</x:v>
      </x:c>
      <x:c r="B458" s="3">
        <x:v>0</x:v>
      </x:c>
      <x:c r="C458" s="4" t="s">
        <x:v>1242</x:v>
      </x:c>
      <x:c r="D458" s="5">
        <x:v>306</x:v>
      </x:c>
      <x:c r="E458" s="13"/>
      <x:c r="F458" s="13"/>
      <x:c r="G458" s="13"/>
      <x:c r="H458" s="13"/>
      <x:c r="I458" s="13"/>
      <x:c r="J458" s="13"/>
      <x:c r="K458" s="13"/>
      <x:c r="L458" s="13"/>
      <x:c r="M458" s="13"/>
      <x:c r="N458" s="13"/>
      <x:c r="O458" s="13"/>
      <x:c r="P458" s="13"/>
      <x:c r="Q458" s="13" t="n">
        <x:f>COUNT(E458:P458)</x:f>
        <x:v>0</x:v>
      </x:c>
      <x:c r="R458" s="13" t="n">
        <x:f>SUM(E458:P458)</x:f>
        <x:v>0</x:v>
      </x:c>
      <x:c r="S458" s="14" t="str">
        <x:f>IF(Q458&gt;0,R458/Q458,"")</x:f>
      </x:c>
      <x:c r="T458" s="15"/>
      <x:c r="U458" s="15"/>
      <x:c r="V458" s="14"/>
      <x:c r="W458" s="14" t="str">
        <x:f>IF(AND(Q458&gt;0,S458&gt;0,V458&lt;&gt;""),V458/S458/Q458,"")</x:f>
      </x:c>
      <x:c r="X458" s="3" t="s">
        <x:v>1243</x:v>
      </x:c>
    </x:row>
    <x:row r="459">
      <x:c r="A459" s="12" t="s">
        <x:v>19</x:v>
      </x:c>
      <x:c r="B459" s="3" t="s">
        <x:v>85</x:v>
      </x:c>
      <x:c r="C459" s="4" t="s">
        <x:v>1244</x:v>
      </x:c>
      <x:c r="D459" s="5">
        <x:v>306</x:v>
      </x:c>
      <x:c r="E459" s="13"/>
      <x:c r="F459" s="13"/>
      <x:c r="G459" s="13"/>
      <x:c r="H459" s="13"/>
      <x:c r="I459" s="13"/>
      <x:c r="J459" s="13"/>
      <x:c r="K459" s="13"/>
      <x:c r="L459" s="13"/>
      <x:c r="M459" s="13"/>
      <x:c r="N459" s="13"/>
      <x:c r="O459" s="13"/>
      <x:c r="P459" s="13"/>
      <x:c r="Q459" s="13" t="n">
        <x:f>COUNT(E459:P459)</x:f>
        <x:v>0</x:v>
      </x:c>
      <x:c r="R459" s="13" t="n">
        <x:f>SUM(E459:P459)</x:f>
        <x:v>0</x:v>
      </x:c>
      <x:c r="S459" s="14" t="str">
        <x:f>IF(Q459&gt;0,R459/Q459,"")</x:f>
      </x:c>
      <x:c r="T459" s="15"/>
      <x:c r="U459" s="15"/>
      <x:c r="V459" s="14"/>
      <x:c r="W459" s="14" t="str">
        <x:f>IF(AND(Q459&gt;0,S459&gt;0,V459&lt;&gt;""),V459/S459/Q459,"")</x:f>
      </x:c>
      <x:c r="X459" s="3" t="s">
        <x:v>1245</x:v>
      </x:c>
    </x:row>
    <x:row r="460">
      <x:c r="A460" s="12" t="s">
        <x:v>220</x:v>
      </x:c>
      <x:c r="B460" s="3" t="s">
        <x:v>676</x:v>
      </x:c>
      <x:c r="C460" s="4" t="s">
        <x:v>1246</x:v>
      </x:c>
      <x:c r="D460" s="5">
        <x:v>306</x:v>
      </x:c>
      <x:c r="E460" s="13"/>
      <x:c r="F460" s="13"/>
      <x:c r="G460" s="13"/>
      <x:c r="H460" s="13"/>
      <x:c r="I460" s="13"/>
      <x:c r="J460" s="13"/>
      <x:c r="K460" s="13"/>
      <x:c r="L460" s="13"/>
      <x:c r="M460" s="13"/>
      <x:c r="N460" s="13"/>
      <x:c r="O460" s="13"/>
      <x:c r="P460" s="13"/>
      <x:c r="Q460" s="13" t="n">
        <x:f>COUNT(E460:P460)</x:f>
        <x:v>0</x:v>
      </x:c>
      <x:c r="R460" s="13" t="n">
        <x:f>SUM(E460:P460)</x:f>
        <x:v>0</x:v>
      </x:c>
      <x:c r="S460" s="14" t="str">
        <x:f>IF(Q460&gt;0,R460/Q460,"")</x:f>
      </x:c>
      <x:c r="T460" s="15"/>
      <x:c r="U460" s="15"/>
      <x:c r="V460" s="14"/>
      <x:c r="W460" s="14" t="str">
        <x:f>IF(AND(Q460&gt;0,S460&gt;0,V460&lt;&gt;""),V460/S460/Q460,"")</x:f>
      </x:c>
      <x:c r="X460" s="3" t="s">
        <x:v>1247</x:v>
      </x:c>
    </x:row>
    <x:row r="461">
      <x:c r="A461" s="12" t="s">
        <x:v>732</x:v>
      </x:c>
      <x:c r="B461" s="3" t="s">
        <x:v>733</x:v>
      </x:c>
      <x:c r="C461" s="4" t="s">
        <x:v>1248</x:v>
      </x:c>
      <x:c r="D461" s="5">
        <x:v>306</x:v>
      </x:c>
      <x:c r="E461" s="13"/>
      <x:c r="F461" s="13"/>
      <x:c r="G461" s="13"/>
      <x:c r="H461" s="13"/>
      <x:c r="I461" s="13"/>
      <x:c r="J461" s="13"/>
      <x:c r="K461" s="13"/>
      <x:c r="L461" s="13"/>
      <x:c r="M461" s="13"/>
      <x:c r="N461" s="13"/>
      <x:c r="O461" s="13"/>
      <x:c r="P461" s="13"/>
      <x:c r="Q461" s="13" t="n">
        <x:f>COUNT(E461:P461)</x:f>
        <x:v>0</x:v>
      </x:c>
      <x:c r="R461" s="13" t="n">
        <x:f>SUM(E461:P461)</x:f>
        <x:v>0</x:v>
      </x:c>
      <x:c r="S461" s="14" t="str">
        <x:f>IF(Q461&gt;0,R461/Q461,"")</x:f>
      </x:c>
      <x:c r="T461" s="15"/>
      <x:c r="U461" s="15"/>
      <x:c r="V461" s="14"/>
      <x:c r="W461" s="14" t="str">
        <x:f>IF(AND(Q461&gt;0,S461&gt;0,V461&lt;&gt;""),V461/S461/Q461,"")</x:f>
      </x:c>
      <x:c r="X461" s="3" t="s">
        <x:v>1249</x:v>
      </x:c>
    </x:row>
    <x:row r="462">
      <x:c r="A462" s="12" t="s">
        <x:v>1250</x:v>
      </x:c>
      <x:c r="B462" s="3" t="s">
        <x:v>1251</x:v>
      </x:c>
      <x:c r="C462" s="4" t="s">
        <x:v>1252</x:v>
      </x:c>
      <x:c r="D462" s="5">
        <x:v>306</x:v>
      </x:c>
      <x:c r="E462" s="13"/>
      <x:c r="F462" s="13"/>
      <x:c r="G462" s="13"/>
      <x:c r="H462" s="13"/>
      <x:c r="I462" s="13"/>
      <x:c r="J462" s="13"/>
      <x:c r="K462" s="13"/>
      <x:c r="L462" s="13"/>
      <x:c r="M462" s="13"/>
      <x:c r="N462" s="13"/>
      <x:c r="O462" s="13"/>
      <x:c r="P462" s="13"/>
      <x:c r="Q462" s="13" t="n">
        <x:f>COUNT(E462:P462)</x:f>
        <x:v>0</x:v>
      </x:c>
      <x:c r="R462" s="13" t="n">
        <x:f>SUM(E462:P462)</x:f>
        <x:v>0</x:v>
      </x:c>
      <x:c r="S462" s="14" t="str">
        <x:f>IF(Q462&gt;0,R462/Q462,"")</x:f>
      </x:c>
      <x:c r="T462" s="15"/>
      <x:c r="U462" s="15"/>
      <x:c r="V462" s="14"/>
      <x:c r="W462" s="14" t="str">
        <x:f>IF(AND(Q462&gt;0,S462&gt;0,V462&lt;&gt;""),V462/S462/Q462,"")</x:f>
      </x:c>
      <x:c r="X462" s="3" t="s">
        <x:v>1253</x:v>
      </x:c>
    </x:row>
    <x:row r="463">
      <x:c r="A463" s="12" t="s">
        <x:v>220</x:v>
      </x:c>
      <x:c r="B463" s="3" t="s">
        <x:v>221</x:v>
      </x:c>
      <x:c r="C463" s="4" t="s">
        <x:v>1254</x:v>
      </x:c>
      <x:c r="D463" s="5">
        <x:v>306</x:v>
      </x:c>
      <x:c r="E463" s="13"/>
      <x:c r="F463" s="13"/>
      <x:c r="G463" s="13"/>
      <x:c r="H463" s="13"/>
      <x:c r="I463" s="13"/>
      <x:c r="J463" s="13"/>
      <x:c r="K463" s="13"/>
      <x:c r="L463" s="13"/>
      <x:c r="M463" s="13"/>
      <x:c r="N463" s="13"/>
      <x:c r="O463" s="13"/>
      <x:c r="P463" s="13"/>
      <x:c r="Q463" s="13" t="n">
        <x:f>COUNT(E463:P463)</x:f>
        <x:v>0</x:v>
      </x:c>
      <x:c r="R463" s="13" t="n">
        <x:f>SUM(E463:P463)</x:f>
        <x:v>0</x:v>
      </x:c>
      <x:c r="S463" s="14" t="str">
        <x:f>IF(Q463&gt;0,R463/Q463,"")</x:f>
      </x:c>
      <x:c r="T463" s="15"/>
      <x:c r="U463" s="15"/>
      <x:c r="V463" s="14"/>
      <x:c r="W463" s="14" t="str">
        <x:f>IF(AND(Q463&gt;0,S463&gt;0,V463&lt;&gt;""),V463/S463/Q463,"")</x:f>
      </x:c>
      <x:c r="X463" s="3" t="s">
        <x:v>1255</x:v>
      </x:c>
    </x:row>
    <x:row r="464">
      <x:c r="A464" s="12" t="s">
        <x:v>1200</x:v>
      </x:c>
      <x:c r="B464" s="3" t="s">
        <x:v>1201</x:v>
      </x:c>
      <x:c r="C464" s="4" t="s">
        <x:v>1256</x:v>
      </x:c>
      <x:c r="D464" s="5">
        <x:v>306</x:v>
      </x:c>
      <x:c r="E464" s="13"/>
      <x:c r="F464" s="13"/>
      <x:c r="G464" s="13"/>
      <x:c r="H464" s="13"/>
      <x:c r="I464" s="13"/>
      <x:c r="J464" s="13"/>
      <x:c r="K464" s="13"/>
      <x:c r="L464" s="13"/>
      <x:c r="M464" s="13"/>
      <x:c r="N464" s="13"/>
      <x:c r="O464" s="13"/>
      <x:c r="P464" s="13"/>
      <x:c r="Q464" s="13" t="n">
        <x:f>COUNT(E464:P464)</x:f>
        <x:v>0</x:v>
      </x:c>
      <x:c r="R464" s="13" t="n">
        <x:f>SUM(E464:P464)</x:f>
        <x:v>0</x:v>
      </x:c>
      <x:c r="S464" s="14" t="str">
        <x:f>IF(Q464&gt;0,R464/Q464,"")</x:f>
      </x:c>
      <x:c r="T464" s="15"/>
      <x:c r="U464" s="15"/>
      <x:c r="V464" s="14"/>
      <x:c r="W464" s="14" t="str">
        <x:f>IF(AND(Q464&gt;0,S464&gt;0,V464&lt;&gt;""),V464/S464/Q464,"")</x:f>
      </x:c>
      <x:c r="X464" s="3" t="s">
        <x:v>1257</x:v>
      </x:c>
    </x:row>
    <x:row r="465">
      <x:c r="A465" s="12" t="s">
        <x:v>1258</x:v>
      </x:c>
      <x:c r="B465" s="3" t="s">
        <x:v>1259</x:v>
      </x:c>
      <x:c r="C465" s="4" t="s">
        <x:v>1260</x:v>
      </x:c>
      <x:c r="D465" s="5">
        <x:v>306</x:v>
      </x:c>
      <x:c r="E465" s="13"/>
      <x:c r="F465" s="13"/>
      <x:c r="G465" s="13"/>
      <x:c r="H465" s="13"/>
      <x:c r="I465" s="13"/>
      <x:c r="J465" s="13"/>
      <x:c r="K465" s="13">
        <x:v>1</x:v>
      </x:c>
      <x:c r="L465" s="13">
        <x:v>1</x:v>
      </x:c>
      <x:c r="M465" s="13">
        <x:v>1</x:v>
      </x:c>
      <x:c r="N465" s="13">
        <x:v>1</x:v>
      </x:c>
      <x:c r="O465" s="13">
        <x:v>1</x:v>
      </x:c>
      <x:c r="P465" s="13">
        <x:v>1</x:v>
      </x:c>
      <x:c r="Q465" s="13" t="n">
        <x:f>COUNT(E465:P465)</x:f>
        <x:v>6</x:v>
      </x:c>
      <x:c r="R465" s="13" t="n">
        <x:f>SUM(E465:P465)</x:f>
        <x:v>6</x:v>
      </x:c>
      <x:c r="S465" s="14" t="n">
        <x:f>IF(Q465&gt;0,R465/Q465,"")</x:f>
        <x:v>1</x:v>
      </x:c>
      <x:c r="T465" s="15"/>
      <x:c r="U465" s="15"/>
      <x:c r="V465" s="14"/>
      <x:c r="W465" s="14" t="str">
        <x:f>IF(AND(Q465&gt;0,S465&gt;0,V465&lt;&gt;""),V465/S465/Q465,"")</x:f>
      </x:c>
      <x:c r="X465" s="3" t="s">
        <x:v>1261</x:v>
      </x:c>
    </x:row>
    <x:row r="466">
      <x:c r="A466" s="16" t="s">
        <x:v>923</x:v>
      </x:c>
      <x:c r="B466" s="3" t="s">
        <x:v>924</x:v>
      </x:c>
      <x:c r="C466" s="4" t="s">
        <x:v>1262</x:v>
      </x:c>
      <x:c r="D466" s="5">
        <x:v>306</x:v>
      </x:c>
      <x:c r="E466" s="13"/>
      <x:c r="F466" s="13"/>
      <x:c r="G466" s="13"/>
      <x:c r="H466" s="13"/>
      <x:c r="I466" s="13"/>
      <x:c r="J466" s="13"/>
      <x:c r="K466" s="13"/>
      <x:c r="L466" s="13"/>
      <x:c r="M466" s="13"/>
      <x:c r="N466" s="13"/>
      <x:c r="O466" s="13"/>
      <x:c r="P466" s="13"/>
      <x:c r="Q466" s="13" t="n">
        <x:f>COUNT(E466:P466)</x:f>
        <x:v>0</x:v>
      </x:c>
      <x:c r="R466" s="13" t="n">
        <x:f>SUM(E466:P466)</x:f>
        <x:v>0</x:v>
      </x:c>
      <x:c r="S466" s="14" t="str">
        <x:f>IF(Q466&gt;0,R466/Q466,"")</x:f>
      </x:c>
      <x:c r="T466" s="15"/>
      <x:c r="U466" s="15"/>
      <x:c r="V466" s="14"/>
      <x:c r="W466" s="14" t="str">
        <x:f>IF(AND(Q466&gt;0,S466&gt;0,V466&lt;&gt;""),V466/S466/Q466,"")</x:f>
      </x:c>
      <x:c r="X466" s="3" t="s">
        <x:v>1263</x:v>
      </x:c>
    </x:row>
    <x:row r="467">
      <x:c r="A467" s="17"/>
      <x:c r="B467" s="3"/>
      <x:c r="C467" s="4" t="s">
        <x:v>1264</x:v>
      </x:c>
      <x:c r="D467" s="5">
        <x:v>306</x:v>
      </x:c>
      <x:c r="E467" s="13">
        <x:v>5875</x:v>
      </x:c>
      <x:c r="F467" s="13">
        <x:v>5949</x:v>
      </x:c>
      <x:c r="G467" s="13">
        <x:v>5963</x:v>
      </x:c>
      <x:c r="H467" s="13">
        <x:v>6882</x:v>
      </x:c>
      <x:c r="I467" s="13">
        <x:v>6769</x:v>
      </x:c>
      <x:c r="J467" s="13">
        <x:v>6764</x:v>
      </x:c>
      <x:c r="K467" s="13">
        <x:v>5533</x:v>
      </x:c>
      <x:c r="L467" s="13">
        <x:v>5576</x:v>
      </x:c>
      <x:c r="M467" s="13">
        <x:v>5677</x:v>
      </x:c>
      <x:c r="N467" s="13">
        <x:v>5055</x:v>
      </x:c>
      <x:c r="O467" s="13">
        <x:v>4854</x:v>
      </x:c>
      <x:c r="P467" s="13">
        <x:v>4784</x:v>
      </x:c>
      <x:c r="Q467" s="13" t="n">
        <x:f>COUNT(E467:P467)</x:f>
        <x:v>12</x:v>
      </x:c>
      <x:c r="R467" s="13" t="n">
        <x:f>SUM(E467:P467)</x:f>
        <x:v>69681</x:v>
      </x:c>
      <x:c r="S467" s="14" t="n">
        <x:f>IF(Q467&gt;0,R467/Q467,"")</x:f>
        <x:v>5806.75</x:v>
      </x:c>
      <x:c r="T467" s="15">
        <x:v>1162085857</x:v>
      </x:c>
      <x:c r="U467" s="15">
        <x:v>815298998</x:v>
      </x:c>
      <x:c r="V467" s="14">
        <x:v>17655823038</x:v>
      </x:c>
      <x:c r="W467" s="14" t="n">
        <x:f>IF(AND(Q467&gt;0,S467&gt;0,V467&lt;&gt;""),V467/S467/Q467,"")</x:f>
        <x:v>253380.73560942008</x:v>
      </x:c>
      <x:c r="X467" s="3"/>
    </x:row>
  </x:sheetData>
  <x:mergeCells>
    <x:mergeCell ref="E2:G2"/>
    <x:mergeCell ref="H2:J2"/>
    <x:mergeCell ref="K2:M2"/>
    <x:mergeCell ref="N2:P2"/>
  </x:mergeCells>
  <x:pageMargins left="0.7" right="0.7" top="0.75" bottom="0.75" header="0.3" footer="0.3"/>
</x:worksheet>
</file>