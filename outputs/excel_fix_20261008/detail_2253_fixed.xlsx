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f78e33b9f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c8bac99315cf4f45"/>
  </x:sheets>
</x:workbook>
</file>

<file path=xl/sharedStrings.xml><?xml version="1.0" encoding="utf-8"?>
<x:sst xmlns:x="http://schemas.openxmlformats.org/spreadsheetml/2006/main">
  <x:si>
    <x:t xml:space="preserve">1 квартал</x:t>
  </x:si>
  <x:si>
    <x:t xml:space="preserve">2 квартал</x:t>
  </x:si>
  <x:si>
    <x:t xml:space="preserve">3 квартал</x:t>
  </x:si>
  <x:si>
    <x:t xml:space="preserve">4 квартал</x:t>
  </x:si>
  <x:si>
    <x:t xml:space="preserve">Код ОКЭД</x:t>
  </x:si>
  <x:si>
    <x:t xml:space="preserve">ОКЭД</x:t>
  </x:si>
  <x:si>
    <x:t xml:space="preserve">ИИН/БИН</x:t>
  </x:si>
  <x:si>
    <x:t xml:space="preserve">Код НУ</x:t>
  </x:si>
  <x:si>
    <x:t xml:space="preserve"> empl_1</x:t>
  </x:si>
  <x:si>
    <x:t xml:space="preserve">empl_2</x:t>
  </x:si>
  <x:si>
    <x:t xml:space="preserve"> empl_3</x:t>
  </x:si>
  <x:si>
    <x:t xml:space="preserve">сколько месяцев</x:t>
  </x:si>
  <x:si>
    <x:t xml:space="preserve">Кол-во чел</x:t>
  </x:si>
  <x:si>
    <x:t xml:space="preserve">Ср.числ.</x:t>
  </x:si>
  <x:si>
    <x:t xml:space="preserve">field_200_00_001_4</x:t>
  </x:si>
  <x:si>
    <x:t xml:space="preserve">field_200_00_005_4</x:t>
  </x:si>
  <x:si>
    <x:t xml:space="preserve">ФОТ</x:t>
  </x:si>
  <x:si>
    <x:t xml:space="preserve">Ср.зп</x:t>
  </x:si>
  <x:si>
    <x:t xml:space="preserve">Наименование</x:t>
  </x:si>
  <x:si>
    <x:t xml:space="preserve">84114</x:t>
  </x:si>
  <x:si>
    <x:t xml:space="preserve">Деятельность сельских и поселковых органов управления</x:t>
  </x:si>
  <x:si>
    <x:t xml:space="preserve">000440002033</x:t>
  </x:si>
  <x:si>
    <x:t xml:space="preserve">государственное учреждение "Аппарат акима сельского округа Елтоқ"</x:t>
  </x:si>
  <x:si>
    <x:t xml:space="preserve">41201</x:t>
  </x:si>
  <x:si>
    <x:t xml:space="preserve">Строительство жилых зданий</x:t>
  </x:si>
  <x:si>
    <x:t xml:space="preserve">180340022343</x:t>
  </x:si>
  <x:si>
    <x:t xml:space="preserve">Товарищество с ограниченной ответственностью "Stone карьер"</x:t>
  </x:si>
  <x:si>
    <x:t xml:space="preserve">01111</x:t>
  </x:si>
  <x:si>
    <x:t xml:space="preserve">Выращивание зерновых и зернобобовых культур, включая семеноводство</x:t>
  </x:si>
  <x:si>
    <x:t xml:space="preserve">181040003923</x:t>
  </x:si>
  <x:si>
    <x:t xml:space="preserve">Товарищество с ограниченной ответственностью "Алихан-2018"</x:t>
  </x:si>
  <x:si>
    <x:t xml:space="preserve">000440000846</x:t>
  </x:si>
  <x:si>
    <x:t xml:space="preserve">Государственное учреждение "Аппарат акима Булаксайского аульного округа"</x:t>
  </x:si>
  <x:si>
    <x:t xml:space="preserve">111240001971</x:t>
  </x:si>
  <x:si>
    <x:t xml:space="preserve">Товарищество с ограниченной ответственностью "Акбулак-Агро"</x:t>
  </x:si>
  <x:si>
    <x:t xml:space="preserve">01500</x:t>
  </x:si>
  <x:si>
    <x:t xml:space="preserve">СМЕШАННОЕ СЕЛЬСКОЕ ХОЗЯЙСТВО</x:t>
  </x:si>
  <x:si>
    <x:t xml:space="preserve">190240032983</x:t>
  </x:si>
  <x:si>
    <x:t xml:space="preserve">Товарищество с ограниченной ответственностью "Jardin Farms"</x:t>
  </x:si>
  <x:si>
    <x:t xml:space="preserve">85200</x:t>
  </x:si>
  <x:si>
    <x:t xml:space="preserve">НАЧАЛЬНОЕ ОБРАЗОВАНИЕ (1-Й УРОВЕНЬ)</x:t>
  </x:si>
  <x:si>
    <x:t xml:space="preserve">021240004233</x:t>
  </x:si>
  <x:si>
    <x:t xml:space="preserve">Коммунальное государственное учреждение "Начальная школа села Актасты отдела образования по Аршалынскому району управления образования Акмолинской области"</x:t>
  </x:si>
  <x:si>
    <x:t xml:space="preserve">46716</x:t>
  </x:si>
  <x:si>
    <x:t xml:space="preserve">Оптовая торговля автомобильным бензином</x:t>
  </x:si>
  <x:si>
    <x:t xml:space="preserve">050640008154</x:t>
  </x:si>
  <x:si>
    <x:t xml:space="preserve">Товарищество с ограниченной ответственностью "Вишневская нефтебаза"</x:t>
  </x:si>
  <x:si>
    <x:t xml:space="preserve">85100</x:t>
  </x:si>
  <x:si>
    <x:t xml:space="preserve">Дошкольное (доначальное) образование</x:t>
  </x:si>
  <x:si>
    <x:t xml:space="preserve">030440004071</x:t>
  </x:si>
  <x:si>
    <x:t xml:space="preserve">Государственное коммунальное казенное предприятие "Ясли-сад "Светлячок" поселка Аршалы при отделе образования по Аршалынскому району управления образования Акмолинской области"</x:t>
  </x:si>
  <x:si>
    <x:t xml:space="preserve">93190</x:t>
  </x:si>
  <x:si>
    <x:t xml:space="preserve">Прочая деятельность в области спорта</x:t>
  </x:si>
  <x:si>
    <x:t xml:space="preserve">180440012548</x:t>
  </x:si>
  <x:si>
    <x:t xml:space="preserve">Общественное объединение "Федерация практической, пулевой и стендовой стрельбы Акмолинской области"</x:t>
  </x:si>
  <x:si>
    <x:t xml:space="preserve">85310</x:t>
  </x:si>
  <x:si>
    <x:t xml:space="preserve">Основное и общее среднее образование</x:t>
  </x:si>
  <x:si>
    <x:t xml:space="preserve">021240004114</x:t>
  </x:si>
  <x:si>
    <x:t xml:space="preserve">Коммунальное государственное учреждение «Основная средняя школа села Ольгинка отдела образования по Аршалынскому району управления образования Акмолинской области»</x:t>
  </x:si>
  <x:si>
    <x:t xml:space="preserve">030440004061</x:t>
  </x:si>
  <x:si>
    <x:t xml:space="preserve">Государственное коммунальное казенное предприятие "Ясли-сад "Колокольчик" села Михайловка при отделе образования по Аршалынскому району управления образования Акмолинской области"</x:t>
  </x:si>
  <x:si>
    <x:t xml:space="preserve">030440004488</x:t>
  </x:si>
  <x:si>
    <x:t xml:space="preserve">Государственное коммунальное казенное предприятие "Детский сад "Василек" села Турген при отделе образования по Аршалынскому району управления образования Акмолинской области"</x:t>
  </x:si>
  <x:si>
    <x:t xml:space="preserve">01472</x:t>
  </x:si>
  <x:si>
    <x:t xml:space="preserve">ПРОИЗВОДСТВО ЯИЦ</x:t>
  </x:si>
  <x:si>
    <x:t xml:space="preserve">940340000927</x:t>
  </x:si>
  <x:si>
    <x:t xml:space="preserve">Товарищество с ограниченной ответственностью Племенное хозяйство "Астана-кус"</x:t>
  </x:si>
  <x:si>
    <x:t xml:space="preserve">68201</x:t>
  </x:si>
  <x:si>
    <x:t xml:space="preserve">Аренда и управление собственной недвижимостью</x:t>
  </x:si>
  <x:si>
    <x:t xml:space="preserve">100340012301</x:t>
  </x:si>
  <x:si>
    <x:t xml:space="preserve">Товарищество с ограниченной ответственностью "KAZTECO"</x:t>
  </x:si>
  <x:si>
    <x:t xml:space="preserve">230440036735</x:t>
  </x:si>
  <x:si>
    <x:t xml:space="preserve">Товарищество с ограниченной ответственностью "Ажар Холдинг"</x:t>
  </x:si>
  <x:si>
    <x:t xml:space="preserve">96090</x:t>
  </x:si>
  <x:si>
    <x:t xml:space="preserve">Предоставление прочих индивидуальных услуг, не включенных в другие группировки</x:t>
  </x:si>
  <x:si>
    <x:t xml:space="preserve">220840054934</x:t>
  </x:si>
  <x:si>
    <x:t xml:space="preserve">Товарищество с ограниченной ответственностью "BAYRUM"</x:t>
  </x:si>
  <x:si>
    <x:t xml:space="preserve">130140017767</x:t>
  </x:si>
  <x:si>
    <x:t xml:space="preserve">Государственное коммунальное казенное предприятие «Ясли-сад «Құлыншақ» станции Анар при отделе образования по Аршалынскому району управления образования Акмолинской области»</x:t>
  </x:si>
  <x:si>
    <x:t xml:space="preserve">170340006131</x:t>
  </x:si>
  <x:si>
    <x:t xml:space="preserve">Товарищество с ограниченной ответственностью "Колос-2017"</x:t>
  </x:si>
  <x:si>
    <x:t xml:space="preserve">171140040385</x:t>
  </x:si>
  <x:si>
    <x:t xml:space="preserve">Товарищество с ограниченной ответственностью "Tabys 2018"</x:t>
  </x:si>
  <x:si>
    <x:t xml:space="preserve">85510</x:t>
  </x:si>
  <x:si>
    <x:t xml:space="preserve">Спортивное образование и образование специалистов организации досуга</x:t>
  </x:si>
  <x:si>
    <x:t xml:space="preserve">000440002664</x:t>
  </x:si>
  <x:si>
    <x:t xml:space="preserve">Коммунальное государственное учреждение "Аршалынская детско-юношеская спортивная школа" управления физической культуры и спорта Акмолинской области</x:t>
  </x:si>
  <x:si>
    <x:t xml:space="preserve">08111</x:t>
  </x:si>
  <x:si>
    <x:t xml:space="preserve">Добыча отделочного и строительного камня</x:t>
  </x:si>
  <x:si>
    <x:t xml:space="preserve">130840010180</x:t>
  </x:si>
  <x:si>
    <x:t xml:space="preserve">Товарищество с ограниченной ответственностью "Неруд Центр Есіл"</x:t>
  </x:si>
  <x:si>
    <x:t xml:space="preserve">000440002248</x:t>
  </x:si>
  <x:si>
    <x:t xml:space="preserve">Государственное учреждение "Аппарат акима Берсуатского сельского округа"</x:t>
  </x:si>
  <x:si>
    <x:t xml:space="preserve">23700</x:t>
  </x:si>
  <x:si>
    <x:t xml:space="preserve">Резка, обработка и отделка камня</x:t>
  </x:si>
  <x:si>
    <x:t xml:space="preserve">180740011124</x:t>
  </x:si>
  <x:si>
    <x:t xml:space="preserve">Товарищество с ограниченной ответственностью "Жасыл Тас - ДАМУ"</x:t>
  </x:si>
  <x:si>
    <x:t xml:space="preserve">23611</x:t>
  </x:si>
  <x:si>
    <x:t xml:space="preserve">Производство сборных железобетонных и бетонных конструкций и изделий</x:t>
  </x:si>
  <x:si>
    <x:t xml:space="preserve">940340000898</x:t>
  </x:si>
  <x:si>
    <x:t xml:space="preserve">Акционерное общество "КАЗШПАЛ"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</x:si>
</x:sst>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rgb="FF92D050"/>
      </x:patternFill>
    </x:fill>
  </x:fills>
  <x:borders count="7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49" fontId="0" fillId="0" borderId="0" xfId="0" applyNumberFormat="1"/>
    <x:xf numFmtId="0" fontId="0" fillId="0" borderId="0" xfId="0" applyAlignment="1">
      <x:alignment wrapText="1"/>
    </x:xf>
    <x:xf numFmtId="0" fontId="0" fillId="0" borderId="4" xfId="0" applyBorder="1"/>
    <x:xf numFmtId="49" fontId="0" fillId="0" borderId="4" xfId="0" applyNumberFormat="1" applyBorder="1" applyAlignment="1">
      <x:alignment horizontal="center"/>
    </x:xf>
    <x:xf numFmtId="0" fontId="1" fillId="0" borderId="4" xfId="0" applyFont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4" xfId="0" applyBorder="1" applyAlignment="1">
      <x:alignment horizontal="center" wrapText="1"/>
    </x:xf>
    <x:xf numFmtId="0" fontId="0" fillId="2" borderId="4" xfId="0" applyFill="1" applyBorder="1" applyAlignment="1">
      <x:alignment horizontal="center" vertical="center"/>
    </x:xf>
    <x:xf numFmtId="3" fontId="0" fillId="3" borderId="4" xfId="0" applyNumberFormat="1" applyFill="1" applyBorder="1" applyAlignment="1">
      <x:alignment horizontal="center" wrapText="1"/>
    </x:xf>
    <x:xf numFmtId="0" fontId="0" fillId="4" borderId="4" xfId="0" applyFill="1" applyBorder="1" applyAlignment="1">
      <x:alignment horizontal="center"/>
    </x:xf>
    <x:xf numFmtId="0" fontId="0" fillId="0" borderId="0" xfId="0" applyAlignment="1">
      <x:alignment horizontal="center"/>
    </x:xf>
    <x:xf numFmtId="49" fontId="0" fillId="0" borderId="6" xfId="0" applyNumberFormat="1" applyBorder="1" applyAlignment="1">
      <x:alignment horizontal="center"/>
    </x:xf>
    <x:xf numFmtId="0" fontId="0" fillId="0" borderId="4" xfId="0" applyBorder="1" applyAlignment="1">
      <x:alignment horizontal="center"/>
    </x:xf>
    <x:xf numFmtId="3" fontId="0" fillId="0" borderId="4" xfId="0" applyNumberFormat="1" applyBorder="1" applyAlignment="1">
      <x:alignment horizontal="center"/>
    </x:xf>
    <x:xf numFmtId="3" fontId="0" fillId="0" borderId="4" xfId="0" applyNumberFormat="1" applyBorder="1" applyAlignment="1">
      <x:alignment horizontal="center" wrapText="1"/>
    </x:xf>
    <x:xf numFmtId="0" fontId="0" fillId="0" borderId="1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6727018f941a2" /><Relationship Type="http://schemas.openxmlformats.org/officeDocument/2006/relationships/theme" Target="/xl/theme/theme1.xml" Id="R5e97e184ac7e4997" /><Relationship Type="http://schemas.openxmlformats.org/officeDocument/2006/relationships/sharedStrings" Target="/xl/sharedStrings.xml" Id="Rd20a377813e6463b" /><Relationship Type="http://schemas.openxmlformats.org/officeDocument/2006/relationships/worksheet" Target="/xl/worksheets/sheet1.xml" Id="Rc8bac99315cf4f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 ht="15">
      <x:c r="C1" s="1"/>
      <x:c r="E1" s="16" t="s">
        <x:v>0</x:v>
      </x:c>
      <x:c r="F1" s="17"/>
      <x:c r="G1" s="18"/>
      <x:c r="H1" s="16" t="s">
        <x:v>1</x:v>
      </x:c>
      <x:c r="I1" s="17"/>
      <x:c r="J1" s="18"/>
      <x:c r="K1" s="16" t="s">
        <x:v>2</x:v>
      </x:c>
      <x:c r="L1" s="17"/>
      <x:c r="M1" s="18"/>
      <x:c r="N1" s="16" t="s">
        <x:v>3</x:v>
      </x:c>
      <x:c r="O1" s="17"/>
      <x:c r="P1" s="18"/>
      <x:c r="T1" s="2"/>
      <x:c r="U1" s="2"/>
    </x:row>
    <x:row r="2" ht="43.5">
      <x:c r="A2" s="3" t="s">
        <x:v>4</x:v>
      </x:c>
      <x:c r="B2" s="3" t="s">
        <x:v>5</x:v>
      </x:c>
      <x:c r="C2" s="4" t="s">
        <x:v>6</x:v>
      </x:c>
      <x:c r="D2" s="5" t="s">
        <x:v>7</x:v>
      </x:c>
      <x:c r="E2" s="6" t="s">
        <x:v>8</x:v>
      </x:c>
      <x:c r="F2" s="6" t="s">
        <x:v>9</x:v>
      </x:c>
      <x:c r="G2" s="6" t="s">
        <x:v>10</x:v>
      </x:c>
      <x:c r="H2" s="6" t="s">
        <x:v>8</x:v>
      </x:c>
      <x:c r="I2" s="6" t="s">
        <x:v>9</x:v>
      </x:c>
      <x:c r="J2" s="6" t="s">
        <x:v>10</x:v>
      </x:c>
      <x:c r="K2" s="6" t="s">
        <x:v>8</x:v>
      </x:c>
      <x:c r="L2" s="6" t="s">
        <x:v>9</x:v>
      </x:c>
      <x:c r="M2" s="6" t="s">
        <x:v>10</x:v>
      </x:c>
      <x:c r="N2" s="6" t="s">
        <x:v>8</x:v>
      </x:c>
      <x:c r="O2" s="6" t="s">
        <x:v>9</x:v>
      </x:c>
      <x:c r="P2" s="6" t="s">
        <x:v>10</x:v>
      </x:c>
      <x:c r="Q2" s="7" t="s">
        <x:v>11</x:v>
      </x:c>
      <x:c r="R2" s="7" t="s">
        <x:v>12</x:v>
      </x:c>
      <x:c r="S2" s="8" t="s">
        <x:v>13</x:v>
      </x:c>
      <x:c r="T2" s="9" t="s">
        <x:v>14</x:v>
      </x:c>
      <x:c r="U2" s="9" t="s">
        <x:v>15</x:v>
      </x:c>
      <x:c r="V2" s="10" t="s">
        <x:v>16</x:v>
      </x:c>
      <x:c r="W2" s="11" t="s">
        <x:v>17</x:v>
      </x:c>
      <x:c r="X2" t="s">
        <x:v>18</x:v>
      </x:c>
    </x:row>
    <x:row r="3">
      <x:c r="A3" s="12"/>
      <x:c r="B3" s="3"/>
      <x:c r="C3" s="4"/>
      <x:c r="D3" s="5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 t="n">
        <x:f>COUNT(E3:P3)</x:f>
        <x:v>0</x:v>
      </x:c>
      <x:c r="R3" s="13" t="n">
        <x:f>SUM(E3:P3)</x:f>
        <x:v>0</x:v>
      </x:c>
      <x:c r="S3" s="14" t="str">
        <x:f>IF(Q3&gt;0,R3/Q3,"")</x:f>
      </x:c>
      <x:c r="T3" s="15"/>
      <x:c r="U3" s="15"/>
      <x:c r="V3" s="14"/>
      <x:c r="W3" s="14" t="str">
        <x:f>IF(AND(Q3&gt;0,S3&gt;0,V3&lt;&gt;""),V3/S3/Q3,"")</x:f>
      </x:c>
      <x:c r="X3" s="3"/>
    </x:row>
    <x:row r="4">
      <x:c r="A4" s="12" t="s">
        <x:v>19</x:v>
      </x:c>
      <x:c r="B4" s="3" t="s">
        <x:v>20</x:v>
      </x:c>
      <x:c r="C4" s="4" t="s">
        <x:v>21</x:v>
      </x:c>
      <x:c r="D4" s="5">
        <x:v>306</x:v>
      </x:c>
      <x:c r="E4" s="13">
        <x:v>10</x:v>
      </x:c>
      <x:c r="F4" s="13">
        <x:v>10</x:v>
      </x:c>
      <x:c r="G4" s="13">
        <x:v>10</x:v>
      </x:c>
      <x:c r="H4" s="13">
        <x:v>11</x:v>
      </x:c>
      <x:c r="I4" s="13">
        <x:v>12</x:v>
      </x:c>
      <x:c r="J4" s="13">
        <x:v>12</x:v>
      </x:c>
      <x:c r="K4" s="13">
        <x:v>12</x:v>
      </x:c>
      <x:c r="L4" s="13">
        <x:v>12</x:v>
      </x:c>
      <x:c r="M4" s="13">
        <x:v>12</x:v>
      </x:c>
      <x:c r="N4" s="13">
        <x:v>11</x:v>
      </x:c>
      <x:c r="O4" s="13">
        <x:v>11</x:v>
      </x:c>
      <x:c r="P4" s="13">
        <x:v>11</x:v>
      </x:c>
      <x:c r="Q4" s="13" t="n">
        <x:f>COUNT(E4:P4)</x:f>
        <x:v>12</x:v>
      </x:c>
      <x:c r="R4" s="13" t="n">
        <x:f>SUM(E4:P4)</x:f>
        <x:v>134</x:v>
      </x:c>
      <x:c r="S4" s="14" t="n">
        <x:f>IF(Q4&gt;0,R4/Q4,"")</x:f>
        <x:v>11.166666666666666</x:v>
      </x:c>
      <x:c r="T4" s="15">
        <x:v>1754520</x:v>
      </x:c>
      <x:c r="U4" s="15">
        <x:v>1531722</x:v>
      </x:c>
      <x:c r="V4" s="14">
        <x:v>29111823</x:v>
      </x:c>
      <x:c r="W4" s="14" t="n">
        <x:f>IF(AND(Q4&gt;0,S4&gt;0,V4&lt;&gt;""),V4/S4/Q4,"")</x:f>
        <x:v>217252.4104477612</x:v>
      </x:c>
      <x:c r="X4" s="3" t="s">
        <x:v>22</x:v>
      </x:c>
    </x:row>
    <x:row r="5">
      <x:c r="A5" s="12" t="s">
        <x:v>23</x:v>
      </x:c>
      <x:c r="B5" s="3" t="s">
        <x:v>24</x:v>
      </x:c>
      <x:c r="C5" s="4" t="s">
        <x:v>25</x:v>
      </x:c>
      <x:c r="D5" s="5">
        <x:v>306</x:v>
      </x:c>
      <x:c r="E5" s="13"/>
      <x:c r="F5" s="13"/>
      <x:c r="G5" s="13"/>
      <x:c r="H5" s="13">
        <x:v>3</x:v>
      </x:c>
      <x:c r="I5" s="13">
        <x:v>3</x:v>
      </x:c>
      <x:c r="J5" s="13">
        <x:v>4</x:v>
      </x:c>
      <x:c r="K5" s="13">
        <x:v>1</x:v>
      </x:c>
      <x:c r="L5" s="13">
        <x:v>1</x:v>
      </x:c>
      <x:c r="M5" s="13">
        <x:v>1</x:v>
      </x:c>
      <x:c r="N5" s="13"/>
      <x:c r="O5" s="13"/>
      <x:c r="P5" s="13"/>
      <x:c r="Q5" s="13" t="n">
        <x:f>COUNT(E5:P5)</x:f>
        <x:v>6</x:v>
      </x:c>
      <x:c r="R5" s="13" t="n">
        <x:f>SUM(E5:P5)</x:f>
        <x:v>13</x:v>
      </x:c>
      <x:c r="S5" s="14" t="n">
        <x:f>IF(Q5&gt;0,R5/Q5,"")</x:f>
        <x:v>2.1666666666666665</x:v>
      </x:c>
      <x:c r="T5" s="15">
        <x:v>114317</x:v>
      </x:c>
      <x:c r="U5" s="15">
        <x:v>146246</x:v>
      </x:c>
      <x:c r="V5" s="14">
        <x:v>2807027</x:v>
      </x:c>
      <x:c r="W5" s="14" t="n">
        <x:f>IF(AND(Q5&gt;0,S5&gt;0,V5&lt;&gt;""),V5/S5/Q5,"")</x:f>
        <x:v>215925.15384615387</x:v>
      </x:c>
      <x:c r="X5" s="3" t="s">
        <x:v>26</x:v>
      </x:c>
    </x:row>
    <x:row r="6">
      <x:c r="A6" s="12" t="s">
        <x:v>27</x:v>
      </x:c>
      <x:c r="B6" s="3" t="s">
        <x:v>28</x:v>
      </x:c>
      <x:c r="C6" s="4" t="s">
        <x:v>29</x:v>
      </x:c>
      <x:c r="D6" s="5">
        <x:v>306</x:v>
      </x:c>
      <x:c r="E6" s="13">
        <x:v>8</x:v>
      </x:c>
      <x:c r="F6" s="13">
        <x:v>11</x:v>
      </x:c>
      <x:c r="G6" s="13">
        <x:v>11</x:v>
      </x:c>
      <x:c r="H6" s="13">
        <x:v>11</x:v>
      </x:c>
      <x:c r="I6" s="13">
        <x:v>11</x:v>
      </x:c>
      <x:c r="J6" s="13">
        <x:v>11</x:v>
      </x:c>
      <x:c r="K6" s="13">
        <x:v>11</x:v>
      </x:c>
      <x:c r="L6" s="13">
        <x:v>11</x:v>
      </x:c>
      <x:c r="M6" s="13">
        <x:v>12</x:v>
      </x:c>
      <x:c r="N6" s="13">
        <x:v>12</x:v>
      </x:c>
      <x:c r="O6" s="13">
        <x:v>11</x:v>
      </x:c>
      <x:c r="P6" s="13">
        <x:v>12</x:v>
      </x:c>
      <x:c r="Q6" s="13" t="n">
        <x:f>COUNT(E6:P6)</x:f>
        <x:v>12</x:v>
      </x:c>
      <x:c r="R6" s="13" t="n">
        <x:f>SUM(E6:P6)</x:f>
        <x:v>132</x:v>
      </x:c>
      <x:c r="S6" s="14" t="n">
        <x:f>IF(Q6&gt;0,R6/Q6,"")</x:f>
        <x:v>11</x:v>
      </x:c>
      <x:c r="T6" s="15">
        <x:v>1676243</x:v>
      </x:c>
      <x:c r="U6" s="15">
        <x:v>0</x:v>
      </x:c>
      <x:c r="V6" s="14">
        <x:v>28215000</x:v>
      </x:c>
      <x:c r="W6" s="14" t="n">
        <x:f>IF(AND(Q6&gt;0,S6&gt;0,V6&lt;&gt;""),V6/S6/Q6,"")</x:f>
        <x:v>213750</x:v>
      </x:c>
      <x:c r="X6" s="3" t="s">
        <x:v>30</x:v>
      </x:c>
    </x:row>
    <x:row r="7">
      <x:c r="A7" s="12" t="s">
        <x:v>19</x:v>
      </x:c>
      <x:c r="B7" s="3" t="s">
        <x:v>20</x:v>
      </x:c>
      <x:c r="C7" s="4" t="s">
        <x:v>31</x:v>
      </x:c>
      <x:c r="D7" s="5">
        <x:v>306</x:v>
      </x:c>
      <x:c r="E7" s="13">
        <x:v>6</x:v>
      </x:c>
      <x:c r="F7" s="13">
        <x:v>6</x:v>
      </x:c>
      <x:c r="G7" s="13">
        <x:v>6</x:v>
      </x:c>
      <x:c r="H7" s="13">
        <x:v>6</x:v>
      </x:c>
      <x:c r="I7" s="13">
        <x:v>6</x:v>
      </x:c>
      <x:c r="J7" s="13">
        <x:v>6</x:v>
      </x:c>
      <x:c r="K7" s="13">
        <x:v>6</x:v>
      </x:c>
      <x:c r="L7" s="13">
        <x:v>6</x:v>
      </x:c>
      <x:c r="M7" s="13">
        <x:v>6</x:v>
      </x:c>
      <x:c r="N7" s="13">
        <x:v>6</x:v>
      </x:c>
      <x:c r="O7" s="13">
        <x:v>6</x:v>
      </x:c>
      <x:c r="P7" s="13">
        <x:v>6</x:v>
      </x:c>
      <x:c r="Q7" s="13" t="n">
        <x:f>COUNT(E7:P7)</x:f>
        <x:v>12</x:v>
      </x:c>
      <x:c r="R7" s="13" t="n">
        <x:f>SUM(E7:P7)</x:f>
        <x:v>72</x:v>
      </x:c>
      <x:c r="S7" s="14" t="n">
        <x:f>IF(Q7&gt;0,R7/Q7,"")</x:f>
        <x:v>6</x:v>
      </x:c>
      <x:c r="T7" s="15">
        <x:v>1007772</x:v>
      </x:c>
      <x:c r="U7" s="15">
        <x:v>814832</x:v>
      </x:c>
      <x:c r="V7" s="14">
        <x:v>15377240</x:v>
      </x:c>
      <x:c r="W7" s="14" t="n">
        <x:f>IF(AND(Q7&gt;0,S7&gt;0,V7&lt;&gt;""),V7/S7/Q7,"")</x:f>
        <x:v>213572.77777777778</x:v>
      </x:c>
      <x:c r="X7" s="3" t="s">
        <x:v>32</x:v>
      </x:c>
    </x:row>
    <x:row r="8">
      <x:c r="A8" s="12" t="s">
        <x:v>27</x:v>
      </x:c>
      <x:c r="B8" s="3" t="s">
        <x:v>28</x:v>
      </x:c>
      <x:c r="C8" s="4" t="s">
        <x:v>33</x:v>
      </x:c>
      <x:c r="D8" s="5">
        <x:v>306</x:v>
      </x:c>
      <x:c r="E8" s="13">
        <x:v>25</x:v>
      </x:c>
      <x:c r="F8" s="13">
        <x:v>28</x:v>
      </x:c>
      <x:c r="G8" s="13">
        <x:v>31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 t="n">
        <x:f>COUNT(E8:P8)</x:f>
        <x:v>3</x:v>
      </x:c>
      <x:c r="R8" s="13" t="n">
        <x:f>SUM(E8:P8)</x:f>
        <x:v>84</x:v>
      </x:c>
      <x:c r="S8" s="14" t="n">
        <x:f>IF(Q8&gt;0,R8/Q8,"")</x:f>
        <x:v>28</x:v>
      </x:c>
      <x:c r="T8" s="15">
        <x:v>1157634</x:v>
      </x:c>
      <x:c r="U8" s="15">
        <x:v>970070</x:v>
      </x:c>
      <x:c r="V8" s="14">
        <x:v>17910000</x:v>
      </x:c>
      <x:c r="W8" s="14" t="n">
        <x:f>IF(AND(Q8&gt;0,S8&gt;0,V8&lt;&gt;""),V8/S8/Q8,"")</x:f>
        <x:v>213214.2857142857</x:v>
      </x:c>
      <x:c r="X8" s="3" t="s">
        <x:v>34</x:v>
      </x:c>
    </x:row>
    <x:row r="9">
      <x:c r="A9" s="12" t="s">
        <x:v>35</x:v>
      </x:c>
      <x:c r="B9" s="3" t="s">
        <x:v>36</x:v>
      </x:c>
      <x:c r="C9" s="4" t="s">
        <x:v>37</x:v>
      </x:c>
      <x:c r="D9" s="5">
        <x:v>306</x:v>
      </x:c>
      <x:c r="E9" s="13">
        <x:v>4</x:v>
      </x:c>
      <x:c r="F9" s="13">
        <x:v>4</x:v>
      </x:c>
      <x:c r="G9" s="13">
        <x:v>4</x:v>
      </x:c>
      <x:c r="H9" s="13">
        <x:v>4</x:v>
      </x:c>
      <x:c r="I9" s="13">
        <x:v>4</x:v>
      </x:c>
      <x:c r="J9" s="13">
        <x:v>4</x:v>
      </x:c>
      <x:c r="K9" s="13">
        <x:v>4</x:v>
      </x:c>
      <x:c r="L9" s="13">
        <x:v>4</x:v>
      </x:c>
      <x:c r="M9" s="13">
        <x:v>4</x:v>
      </x:c>
      <x:c r="N9" s="13">
        <x:v>4</x:v>
      </x:c>
      <x:c r="O9" s="13">
        <x:v>4</x:v>
      </x:c>
      <x:c r="P9" s="13">
        <x:v>4</x:v>
      </x:c>
      <x:c r="Q9" s="13" t="n">
        <x:f>COUNT(E9:P9)</x:f>
        <x:v>12</x:v>
      </x:c>
      <x:c r="R9" s="13" t="n">
        <x:f>SUM(E9:P9)</x:f>
        <x:v>48</x:v>
      </x:c>
      <x:c r="S9" s="14" t="n">
        <x:f>IF(Q9&gt;0,R9/Q9,"")</x:f>
        <x:v>4</x:v>
      </x:c>
      <x:c r="T9" s="15">
        <x:v>772230</x:v>
      </x:c>
      <x:c r="U9" s="15">
        <x:v>501103</x:v>
      </x:c>
      <x:c r="V9" s="14">
        <x:v>10185010</x:v>
      </x:c>
      <x:c r="W9" s="14" t="n">
        <x:f>IF(AND(Q9&gt;0,S9&gt;0,V9&lt;&gt;""),V9/S9/Q9,"")</x:f>
        <x:v>212187.70833333334</x:v>
      </x:c>
      <x:c r="X9" s="3" t="s">
        <x:v>38</x:v>
      </x:c>
    </x:row>
    <x:row r="10">
      <x:c r="A10" s="12" t="s">
        <x:v>39</x:v>
      </x:c>
      <x:c r="B10" s="3" t="s">
        <x:v>40</x:v>
      </x:c>
      <x:c r="C10" s="4" t="s">
        <x:v>41</x:v>
      </x:c>
      <x:c r="D10" s="5">
        <x:v>306</x:v>
      </x:c>
      <x:c r="E10" s="13">
        <x:v>10</x:v>
      </x:c>
      <x:c r="F10" s="13">
        <x:v>10</x:v>
      </x:c>
      <x:c r="G10" s="13">
        <x:v>10</x:v>
      </x:c>
      <x:c r="H10" s="13">
        <x:v>10</x:v>
      </x:c>
      <x:c r="I10" s="13">
        <x:v>10</x:v>
      </x:c>
      <x:c r="J10" s="13">
        <x:v>10</x:v>
      </x:c>
      <x:c r="K10" s="13">
        <x:v>7</x:v>
      </x:c>
      <x:c r="L10" s="13">
        <x:v>7</x:v>
      </x:c>
      <x:c r="M10" s="13">
        <x:v>7</x:v>
      </x:c>
      <x:c r="N10" s="13">
        <x:v>9</x:v>
      </x:c>
      <x:c r="O10" s="13">
        <x:v>9</x:v>
      </x:c>
      <x:c r="P10" s="13">
        <x:v>9</x:v>
      </x:c>
      <x:c r="Q10" s="13" t="n">
        <x:f>COUNT(E10:P10)</x:f>
        <x:v>12</x:v>
      </x:c>
      <x:c r="R10" s="13" t="n">
        <x:f>SUM(E10:P10)</x:f>
        <x:v>108</x:v>
      </x:c>
      <x:c r="S10" s="14" t="n">
        <x:f>IF(Q10&gt;0,R10/Q10,"")</x:f>
        <x:v>9</x:v>
      </x:c>
      <x:c r="T10" s="15">
        <x:v>1449222</x:v>
      </x:c>
      <x:c r="U10" s="15">
        <x:v>1206205</x:v>
      </x:c>
      <x:c r="V10" s="14">
        <x:v>22579941</x:v>
      </x:c>
      <x:c r="W10" s="14" t="n">
        <x:f>IF(AND(Q10&gt;0,S10&gt;0,V10&lt;&gt;""),V10/S10/Q10,"")</x:f>
        <x:v>209073.52777777778</x:v>
      </x:c>
      <x:c r="X10" s="3" t="s">
        <x:v>42</x:v>
      </x:c>
    </x:row>
    <x:row r="11">
      <x:c r="A11" s="12" t="s">
        <x:v>43</x:v>
      </x:c>
      <x:c r="B11" s="3" t="s">
        <x:v>44</x:v>
      </x:c>
      <x:c r="C11" s="4" t="s">
        <x:v>45</x:v>
      </x:c>
      <x:c r="D11" s="5">
        <x:v>306</x:v>
      </x:c>
      <x:c r="E11" s="13">
        <x:v>21</x:v>
      </x:c>
      <x:c r="F11" s="13">
        <x:v>21</x:v>
      </x:c>
      <x:c r="G11" s="13">
        <x:v>21</x:v>
      </x:c>
      <x:c r="H11" s="13">
        <x:v>22</x:v>
      </x:c>
      <x:c r="I11" s="13">
        <x:v>21</x:v>
      </x:c>
      <x:c r="J11" s="13">
        <x:v>21</x:v>
      </x:c>
      <x:c r="K11" s="13">
        <x:v>21</x:v>
      </x:c>
      <x:c r="L11" s="13">
        <x:v>20</x:v>
      </x:c>
      <x:c r="M11" s="13">
        <x:v>21</x:v>
      </x:c>
      <x:c r="N11" s="13">
        <x:v>21</x:v>
      </x:c>
      <x:c r="O11" s="13">
        <x:v>21</x:v>
      </x:c>
      <x:c r="P11" s="13">
        <x:v>21</x:v>
      </x:c>
      <x:c r="Q11" s="13" t="n">
        <x:f>COUNT(E11:P11)</x:f>
        <x:v>12</x:v>
      </x:c>
      <x:c r="R11" s="13" t="n">
        <x:f>SUM(E11:P11)</x:f>
        <x:v>252</x:v>
      </x:c>
      <x:c r="S11" s="14" t="n">
        <x:f>IF(Q11&gt;0,R11/Q11,"")</x:f>
        <x:v>21</x:v>
      </x:c>
      <x:c r="T11" s="15">
        <x:v>3538177</x:v>
      </x:c>
      <x:c r="U11" s="15">
        <x:v>3459467</x:v>
      </x:c>
      <x:c r="V11" s="14">
        <x:v>52600585</x:v>
      </x:c>
      <x:c r="W11" s="14" t="n">
        <x:f>IF(AND(Q11&gt;0,S11&gt;0,V11&lt;&gt;""),V11/S11/Q11,"")</x:f>
        <x:v>208732.48015873018</x:v>
      </x:c>
      <x:c r="X11" s="3" t="s">
        <x:v>46</x:v>
      </x:c>
    </x:row>
    <x:row r="12">
      <x:c r="A12" s="12" t="s">
        <x:v>47</x:v>
      </x:c>
      <x:c r="B12" s="3" t="s">
        <x:v>48</x:v>
      </x:c>
      <x:c r="C12" s="4" t="s">
        <x:v>49</x:v>
      </x:c>
      <x:c r="D12" s="5">
        <x:v>306</x:v>
      </x:c>
      <x:c r="E12" s="13">
        <x:v>52</x:v>
      </x:c>
      <x:c r="F12" s="13">
        <x:v>52</x:v>
      </x:c>
      <x:c r="G12" s="13">
        <x:v>52</x:v>
      </x:c>
      <x:c r="H12" s="13">
        <x:v>25</x:v>
      </x:c>
      <x:c r="I12" s="13">
        <x:v>26</x:v>
      </x:c>
      <x:c r="J12" s="13">
        <x:v>25</x:v>
      </x:c>
      <x:c r="K12" s="13">
        <x:v>25</x:v>
      </x:c>
      <x:c r="L12" s="13">
        <x:v>24</x:v>
      </x:c>
      <x:c r="M12" s="13">
        <x:v>26</x:v>
      </x:c>
      <x:c r="N12" s="13">
        <x:v>26</x:v>
      </x:c>
      <x:c r="O12" s="13">
        <x:v>25</x:v>
      </x:c>
      <x:c r="P12" s="13">
        <x:v>25</x:v>
      </x:c>
      <x:c r="Q12" s="13" t="n">
        <x:f>COUNT(E12:P12)</x:f>
        <x:v>12</x:v>
      </x:c>
      <x:c r="R12" s="13" t="n">
        <x:f>SUM(E12:P12)</x:f>
        <x:v>383</x:v>
      </x:c>
      <x:c r="S12" s="14" t="n">
        <x:f>IF(Q12&gt;0,R12/Q12,"")</x:f>
        <x:v>31.916666666666668</x:v>
      </x:c>
      <x:c r="T12" s="15">
        <x:v>4404063</x:v>
      </x:c>
      <x:c r="U12" s="15">
        <x:v>3924973</x:v>
      </x:c>
      <x:c r="V12" s="14">
        <x:v>78679545</x:v>
      </x:c>
      <x:c r="W12" s="14" t="n">
        <x:f>IF(AND(Q12&gt;0,S12&gt;0,V12&lt;&gt;""),V12/S12/Q12,"")</x:f>
        <x:v>205429.62140992167</x:v>
      </x:c>
      <x:c r="X12" s="3" t="s">
        <x:v>50</x:v>
      </x:c>
    </x:row>
    <x:row r="13">
      <x:c r="A13" s="12" t="s">
        <x:v>51</x:v>
      </x:c>
      <x:c r="B13" s="3" t="s">
        <x:v>52</x:v>
      </x:c>
      <x:c r="C13" s="4" t="s">
        <x:v>53</x:v>
      </x:c>
      <x:c r="D13" s="5">
        <x:v>306</x:v>
      </x:c>
      <x:c r="E13" s="13">
        <x:v>4</x:v>
      </x:c>
      <x:c r="F13" s="13">
        <x:v>4</x:v>
      </x:c>
      <x:c r="G13" s="13">
        <x:v>4</x:v>
      </x:c>
      <x:c r="H13" s="13">
        <x:v>4</x:v>
      </x:c>
      <x:c r="I13" s="13">
        <x:v>3</x:v>
      </x:c>
      <x:c r="J13" s="13">
        <x:v>3</x:v>
      </x:c>
      <x:c r="K13" s="13">
        <x:v>3</x:v>
      </x:c>
      <x:c r="L13" s="13">
        <x:v>3</x:v>
      </x:c>
      <x:c r="M13" s="13">
        <x:v>3</x:v>
      </x:c>
      <x:c r="N13" s="13">
        <x:v>3</x:v>
      </x:c>
      <x:c r="O13" s="13">
        <x:v>4</x:v>
      </x:c>
      <x:c r="P13" s="13">
        <x:v>4</x:v>
      </x:c>
      <x:c r="Q13" s="13" t="n">
        <x:f>COUNT(E13:P13)</x:f>
        <x:v>12</x:v>
      </x:c>
      <x:c r="R13" s="13" t="n">
        <x:f>SUM(E13:P13)</x:f>
        <x:v>42</x:v>
      </x:c>
      <x:c r="S13" s="14" t="n">
        <x:f>IF(Q13&gt;0,R13/Q13,"")</x:f>
        <x:v>3.5</x:v>
      </x:c>
      <x:c r="T13" s="15">
        <x:v>517155</x:v>
      </x:c>
      <x:c r="U13" s="15">
        <x:v>430543</x:v>
      </x:c>
      <x:c r="V13" s="14">
        <x:v>8563865</x:v>
      </x:c>
      <x:c r="W13" s="14" t="n">
        <x:f>IF(AND(Q13&gt;0,S13&gt;0,V13&lt;&gt;""),V13/S13/Q13,"")</x:f>
        <x:v>203901.5476190476</x:v>
      </x:c>
      <x:c r="X13" s="3" t="s">
        <x:v>54</x:v>
      </x:c>
    </x:row>
    <x:row r="14">
      <x:c r="A14" s="12" t="s">
        <x:v>55</x:v>
      </x:c>
      <x:c r="B14" s="3" t="s">
        <x:v>56</x:v>
      </x:c>
      <x:c r="C14" s="4" t="s">
        <x:v>57</x:v>
      </x:c>
      <x:c r="D14" s="5">
        <x:v>306</x:v>
      </x:c>
      <x:c r="E14" s="13">
        <x:v>18</x:v>
      </x:c>
      <x:c r="F14" s="13">
        <x:v>18</x:v>
      </x:c>
      <x:c r="G14" s="13">
        <x:v>18</x:v>
      </x:c>
      <x:c r="H14" s="13">
        <x:v>40</x:v>
      </x:c>
      <x:c r="I14" s="13">
        <x:v>40</x:v>
      </x:c>
      <x:c r="J14" s="13">
        <x:v>40</x:v>
      </x:c>
      <x:c r="K14" s="13">
        <x:v>20</x:v>
      </x:c>
      <x:c r="L14" s="13">
        <x:v>20</x:v>
      </x:c>
      <x:c r="M14" s="13">
        <x:v>20</x:v>
      </x:c>
      <x:c r="N14" s="13">
        <x:v>20</x:v>
      </x:c>
      <x:c r="O14" s="13">
        <x:v>20</x:v>
      </x:c>
      <x:c r="P14" s="13">
        <x:v>20</x:v>
      </x:c>
      <x:c r="Q14" s="13" t="n">
        <x:f>COUNT(E14:P14)</x:f>
        <x:v>12</x:v>
      </x:c>
      <x:c r="R14" s="13" t="n">
        <x:f>SUM(E14:P14)</x:f>
        <x:v>294</x:v>
      </x:c>
      <x:c r="S14" s="14" t="n">
        <x:f>IF(Q14&gt;0,R14/Q14,"")</x:f>
        <x:v>24.5</x:v>
      </x:c>
      <x:c r="T14" s="15">
        <x:v>3964004</x:v>
      </x:c>
      <x:c r="U14" s="15">
        <x:v>2924225</x:v>
      </x:c>
      <x:c r="V14" s="14">
        <x:v>59854274</x:v>
      </x:c>
      <x:c r="W14" s="14" t="n">
        <x:f>IF(AND(Q14&gt;0,S14&gt;0,V14&lt;&gt;""),V14/S14/Q14,"")</x:f>
        <x:v>203585.96598639456</x:v>
      </x:c>
      <x:c r="X14" s="3" t="s">
        <x:v>58</x:v>
      </x:c>
    </x:row>
    <x:row r="15">
      <x:c r="A15" s="12" t="s">
        <x:v>47</x:v>
      </x:c>
      <x:c r="B15" s="3" t="s">
        <x:v>48</x:v>
      </x:c>
      <x:c r="C15" s="4" t="s">
        <x:v>59</x:v>
      </x:c>
      <x:c r="D15" s="5">
        <x:v>306</x:v>
      </x:c>
      <x:c r="E15" s="13">
        <x:v>25</x:v>
      </x:c>
      <x:c r="F15" s="13">
        <x:v>26</x:v>
      </x:c>
      <x:c r="G15" s="13">
        <x:v>26</x:v>
      </x:c>
      <x:c r="H15" s="13">
        <x:v>26</x:v>
      </x:c>
      <x:c r="I15" s="13">
        <x:v>22</x:v>
      </x:c>
      <x:c r="J15" s="13">
        <x:v>21</x:v>
      </x:c>
      <x:c r="K15" s="13">
        <x:v>19</x:v>
      </x:c>
      <x:c r="L15" s="13">
        <x:v>20</x:v>
      </x:c>
      <x:c r="M15" s="13">
        <x:v>25</x:v>
      </x:c>
      <x:c r="N15" s="13">
        <x:v>24</x:v>
      </x:c>
      <x:c r="O15" s="13">
        <x:v>25</x:v>
      </x:c>
      <x:c r="P15" s="13">
        <x:v>25</x:v>
      </x:c>
      <x:c r="Q15" s="13" t="n">
        <x:f>COUNT(E15:P15)</x:f>
        <x:v>12</x:v>
      </x:c>
      <x:c r="R15" s="13" t="n">
        <x:f>SUM(E15:P15)</x:f>
        <x:v>284</x:v>
      </x:c>
      <x:c r="S15" s="14" t="n">
        <x:f>IF(Q15&gt;0,R15/Q15,"")</x:f>
        <x:v>23.666666666666668</x:v>
      </x:c>
      <x:c r="T15" s="15">
        <x:v>2396981</x:v>
      </x:c>
      <x:c r="U15" s="15">
        <x:v>2057465</x:v>
      </x:c>
      <x:c r="V15" s="14">
        <x:v>57636432</x:v>
      </x:c>
      <x:c r="W15" s="14" t="n">
        <x:f>IF(AND(Q15&gt;0,S15&gt;0,V15&lt;&gt;""),V15/S15/Q15,"")</x:f>
        <x:v>202945.18309859154</x:v>
      </x:c>
      <x:c r="X15" s="3" t="s">
        <x:v>60</x:v>
      </x:c>
    </x:row>
    <x:row r="16">
      <x:c r="A16" s="12" t="s">
        <x:v>47</x:v>
      </x:c>
      <x:c r="B16" s="3" t="s">
        <x:v>48</x:v>
      </x:c>
      <x:c r="C16" s="4" t="s">
        <x:v>61</x:v>
      </x:c>
      <x:c r="D16" s="5">
        <x:v>306</x:v>
      </x:c>
      <x:c r="E16" s="13">
        <x:v>20</x:v>
      </x:c>
      <x:c r="F16" s="13">
        <x:v>19</x:v>
      </x:c>
      <x:c r="G16" s="13">
        <x:v>3</x:v>
      </x:c>
      <x:c r="H16" s="13">
        <x:v>1</x:v>
      </x:c>
      <x:c r="I16" s="13">
        <x:v>1</x:v>
      </x:c>
      <x:c r="J16" s="13">
        <x:v>1</x:v>
      </x:c>
      <x:c r="K16" s="13"/>
      <x:c r="L16" s="13"/>
      <x:c r="M16" s="13"/>
      <x:c r="N16" s="13"/>
      <x:c r="O16" s="13"/>
      <x:c r="P16" s="13"/>
      <x:c r="Q16" s="13" t="n">
        <x:f>COUNT(E16:P16)</x:f>
        <x:v>6</x:v>
      </x:c>
      <x:c r="R16" s="13" t="n">
        <x:f>SUM(E16:P16)</x:f>
        <x:v>45</x:v>
      </x:c>
      <x:c r="S16" s="14" t="n">
        <x:f>IF(Q16&gt;0,R16/Q16,"")</x:f>
        <x:v>7.5</x:v>
      </x:c>
      <x:c r="T16" s="15">
        <x:v>599650</x:v>
      </x:c>
      <x:c r="U16" s="15">
        <x:v>498278</x:v>
      </x:c>
      <x:c r="V16" s="14">
        <x:v>9126697</x:v>
      </x:c>
      <x:c r="W16" s="14" t="n">
        <x:f>IF(AND(Q16&gt;0,S16&gt;0,V16&lt;&gt;""),V16/S16/Q16,"")</x:f>
        <x:v>202815.48888888888</x:v>
      </x:c>
      <x:c r="X16" s="3" t="s">
        <x:v>62</x:v>
      </x:c>
    </x:row>
    <x:row r="17">
      <x:c r="A17" s="12" t="s">
        <x:v>63</x:v>
      </x:c>
      <x:c r="B17" s="3" t="s">
        <x:v>64</x:v>
      </x:c>
      <x:c r="C17" s="4" t="s">
        <x:v>65</x:v>
      </x:c>
      <x:c r="D17" s="5">
        <x:v>306</x:v>
      </x:c>
      <x:c r="E17" s="13">
        <x:v>55</x:v>
      </x:c>
      <x:c r="F17" s="13">
        <x:v>55</x:v>
      </x:c>
      <x:c r="G17" s="13">
        <x:v>54</x:v>
      </x:c>
      <x:c r="H17" s="13">
        <x:v>156</x:v>
      </x:c>
      <x:c r="I17" s="13">
        <x:v>51</x:v>
      </x:c>
      <x:c r="J17" s="13">
        <x:v>47</x:v>
      </x:c>
      <x:c r="K17" s="13">
        <x:v>50</x:v>
      </x:c>
      <x:c r="L17" s="13">
        <x:v>54</x:v>
      </x:c>
      <x:c r="M17" s="13">
        <x:v>54</x:v>
      </x:c>
      <x:c r="N17" s="13">
        <x:v>51</x:v>
      </x:c>
      <x:c r="O17" s="13">
        <x:v>54</x:v>
      </x:c>
      <x:c r="P17" s="13">
        <x:v>54</x:v>
      </x:c>
      <x:c r="Q17" s="13" t="n">
        <x:f>COUNT(E17:P17)</x:f>
        <x:v>12</x:v>
      </x:c>
      <x:c r="R17" s="13" t="n">
        <x:f>SUM(E17:P17)</x:f>
        <x:v>735</x:v>
      </x:c>
      <x:c r="S17" s="14" t="n">
        <x:f>IF(Q17&gt;0,R17/Q17,"")</x:f>
        <x:v>61.25</x:v>
      </x:c>
      <x:c r="T17" s="15">
        <x:v>11183822</x:v>
      </x:c>
      <x:c r="U17" s="15">
        <x:v>0</x:v>
      </x:c>
      <x:c r="V17" s="14">
        <x:v>148186358</x:v>
      </x:c>
      <x:c r="W17" s="14" t="n">
        <x:f>IF(AND(Q17&gt;0,S17&gt;0,V17&lt;&gt;""),V17/S17/Q17,"")</x:f>
        <x:v>201614.0925170068</x:v>
      </x:c>
      <x:c r="X17" s="3" t="s">
        <x:v>66</x:v>
      </x:c>
    </x:row>
    <x:row r="18">
      <x:c r="A18" s="12" t="s">
        <x:v>67</x:v>
      </x:c>
      <x:c r="B18" s="3" t="s">
        <x:v>68</x:v>
      </x:c>
      <x:c r="C18" s="4" t="s">
        <x:v>69</x:v>
      </x:c>
      <x:c r="D18" s="5">
        <x:v>306</x:v>
      </x:c>
      <x:c r="E18" s="13">
        <x:v>3</x:v>
      </x:c>
      <x:c r="F18" s="13">
        <x:v>3</x:v>
      </x:c>
      <x:c r="G18" s="13">
        <x:v>3</x:v>
      </x:c>
      <x:c r="H18" s="13">
        <x:v>3</x:v>
      </x:c>
      <x:c r="I18" s="13">
        <x:v>3</x:v>
      </x:c>
      <x:c r="J18" s="13">
        <x:v>3</x:v>
      </x:c>
      <x:c r="K18" s="13">
        <x:v>3</x:v>
      </x:c>
      <x:c r="L18" s="13">
        <x:v>3</x:v>
      </x:c>
      <x:c r="M18" s="13">
        <x:v>3</x:v>
      </x:c>
      <x:c r="N18" s="13">
        <x:v>3</x:v>
      </x:c>
      <x:c r="O18" s="13">
        <x:v>3</x:v>
      </x:c>
      <x:c r="P18" s="13">
        <x:v>3</x:v>
      </x:c>
      <x:c r="Q18" s="13" t="n">
        <x:f>COUNT(E18:P18)</x:f>
        <x:v>12</x:v>
      </x:c>
      <x:c r="R18" s="13" t="n">
        <x:f>SUM(E18:P18)</x:f>
        <x:v>36</x:v>
      </x:c>
      <x:c r="S18" s="14" t="n">
        <x:f>IF(Q18&gt;0,R18/Q18,"")</x:f>
        <x:v>3</x:v>
      </x:c>
      <x:c r="T18" s="15">
        <x:v>351145</x:v>
      </x:c>
      <x:c r="U18" s="15">
        <x:v>375120</x:v>
      </x:c>
      <x:c r="V18" s="14">
        <x:v>7200000</x:v>
      </x:c>
      <x:c r="W18" s="14" t="n">
        <x:f>IF(AND(Q18&gt;0,S18&gt;0,V18&lt;&gt;""),V18/S18/Q18,"")</x:f>
        <x:v>200000</x:v>
      </x:c>
      <x:c r="X18" s="3" t="s">
        <x:v>70</x:v>
      </x:c>
    </x:row>
    <x:row r="19">
      <x:c r="A19" s="12" t="s">
        <x:v>23</x:v>
      </x:c>
      <x:c r="B19" s="3" t="s">
        <x:v>24</x:v>
      </x:c>
      <x:c r="C19" s="4" t="s">
        <x:v>71</x:v>
      </x:c>
      <x:c r="D19" s="5">
        <x:v>306</x:v>
      </x:c>
      <x:c r="E19" s="13"/>
      <x:c r="F19" s="13"/>
      <x:c r="G19" s="13"/>
      <x:c r="H19" s="13"/>
      <x:c r="I19" s="13"/>
      <x:c r="J19" s="13"/>
      <x:c r="K19" s="13"/>
      <x:c r="L19" s="13">
        <x:v>1</x:v>
      </x:c>
      <x:c r="M19" s="13">
        <x:v>1</x:v>
      </x:c>
      <x:c r="N19" s="13">
        <x:v>1</x:v>
      </x:c>
      <x:c r="O19" s="13">
        <x:v>1</x:v>
      </x:c>
      <x:c r="P19" s="13">
        <x:v>1</x:v>
      </x:c>
      <x:c r="Q19" s="13" t="n">
        <x:f>COUNT(E19:P19)</x:f>
        <x:v>5</x:v>
      </x:c>
      <x:c r="R19" s="13" t="n">
        <x:f>SUM(E19:P19)</x:f>
        <x:v>5</x:v>
      </x:c>
      <x:c r="S19" s="14" t="n">
        <x:f>IF(Q19&gt;0,R19/Q19,"")</x:f>
        <x:v>1</x:v>
      </x:c>
      <x:c r="T19" s="15">
        <x:v>62155</x:v>
      </x:c>
      <x:c r="U19" s="15">
        <x:v>52100</x:v>
      </x:c>
      <x:c r="V19" s="14">
        <x:v>1000000</x:v>
      </x:c>
      <x:c r="W19" s="14" t="n">
        <x:f>IF(AND(Q19&gt;0,S19&gt;0,V19&lt;&gt;""),V19/S19/Q19,"")</x:f>
        <x:v>200000</x:v>
      </x:c>
      <x:c r="X19" s="3" t="s">
        <x:v>72</x:v>
      </x:c>
    </x:row>
    <x:row r="20">
      <x:c r="A20" s="12" t="s">
        <x:v>73</x:v>
      </x:c>
      <x:c r="B20" s="3" t="s">
        <x:v>74</x:v>
      </x:c>
      <x:c r="C20" s="4" t="s">
        <x:v>75</x:v>
      </x:c>
      <x:c r="D20" s="5">
        <x:v>306</x:v>
      </x:c>
      <x:c r="E20" s="13">
        <x:v>6</x:v>
      </x:c>
      <x:c r="F20" s="13">
        <x:v>6</x:v>
      </x:c>
      <x:c r="G20" s="13">
        <x:v>6</x:v>
      </x:c>
      <x:c r="H20" s="13">
        <x:v>5</x:v>
      </x:c>
      <x:c r="I20" s="13">
        <x:v>5</x:v>
      </x:c>
      <x:c r="J20" s="13">
        <x:v>5</x:v>
      </x:c>
      <x:c r="K20" s="13">
        <x:v>-1</x:v>
      </x:c>
      <x:c r="L20" s="13">
        <x:v>-1</x:v>
      </x:c>
      <x:c r="M20" s="13">
        <x:v>-1</x:v>
      </x:c>
      <x:c r="N20" s="13">
        <x:v>-1</x:v>
      </x:c>
      <x:c r="O20" s="13">
        <x:v>-1</x:v>
      </x:c>
      <x:c r="P20" s="13">
        <x:v>-1</x:v>
      </x:c>
      <x:c r="Q20" s="13" t="n">
        <x:f>COUNT(E20:P20)</x:f>
        <x:v>12</x:v>
      </x:c>
      <x:c r="R20" s="13" t="n">
        <x:f>SUM(E20:P20)</x:f>
        <x:v>27</x:v>
      </x:c>
      <x:c r="S20" s="14" t="n">
        <x:f>IF(Q20&gt;0,R20/Q20,"")</x:f>
        <x:v>2.25</x:v>
      </x:c>
      <x:c r="T20" s="15">
        <x:v>14553</x:v>
      </x:c>
      <x:c r="U20" s="15">
        <x:v>260253</x:v>
      </x:c>
      <x:c r="V20" s="14">
        <x:v>5355000</x:v>
      </x:c>
      <x:c r="W20" s="14" t="n">
        <x:f>IF(AND(Q20&gt;0,S20&gt;0,V20&lt;&gt;""),V20/S20/Q20,"")</x:f>
        <x:v>198333.33333333334</x:v>
      </x:c>
      <x:c r="X20" s="3" t="s">
        <x:v>76</x:v>
      </x:c>
    </x:row>
    <x:row r="21">
      <x:c r="A21" s="12" t="s">
        <x:v>47</x:v>
      </x:c>
      <x:c r="B21" s="3" t="s">
        <x:v>48</x:v>
      </x:c>
      <x:c r="C21" s="4" t="s">
        <x:v>77</x:v>
      </x:c>
      <x:c r="D21" s="5">
        <x:v>306</x:v>
      </x:c>
      <x:c r="E21" s="13">
        <x:v>20</x:v>
      </x:c>
      <x:c r="F21" s="13">
        <x:v>20</x:v>
      </x:c>
      <x:c r="G21" s="13">
        <x:v>20</x:v>
      </x:c>
      <x:c r="H21" s="13">
        <x:v>20</x:v>
      </x:c>
      <x:c r="I21" s="13">
        <x:v>20</x:v>
      </x:c>
      <x:c r="J21" s="13">
        <x:v>20</x:v>
      </x:c>
      <x:c r="K21" s="13">
        <x:v>19</x:v>
      </x:c>
      <x:c r="L21" s="13">
        <x:v>19</x:v>
      </x:c>
      <x:c r="M21" s="13">
        <x:v>20</x:v>
      </x:c>
      <x:c r="N21" s="13">
        <x:v>20</x:v>
      </x:c>
      <x:c r="O21" s="13">
        <x:v>20</x:v>
      </x:c>
      <x:c r="P21" s="13">
        <x:v>21</x:v>
      </x:c>
      <x:c r="Q21" s="13" t="n">
        <x:f>COUNT(E21:P21)</x:f>
        <x:v>12</x:v>
      </x:c>
      <x:c r="R21" s="13" t="n">
        <x:f>SUM(E21:P21)</x:f>
        <x:v>239</x:v>
      </x:c>
      <x:c r="S21" s="14" t="n">
        <x:f>IF(Q21&gt;0,R21/Q21,"")</x:f>
        <x:v>19.916666666666668</x:v>
      </x:c>
      <x:c r="T21" s="15">
        <x:v>2647084</x:v>
      </x:c>
      <x:c r="U21" s="15">
        <x:v>2459554</x:v>
      </x:c>
      <x:c r="V21" s="14">
        <x:v>46962837</x:v>
      </x:c>
      <x:c r="W21" s="14" t="n">
        <x:f>IF(AND(Q21&gt;0,S21&gt;0,V21&lt;&gt;""),V21/S21/Q21,"")</x:f>
        <x:v>196497.2259414226</x:v>
      </x:c>
      <x:c r="X21" s="3" t="s">
        <x:v>78</x:v>
      </x:c>
    </x:row>
    <x:row r="22">
      <x:c r="A22" s="12" t="s">
        <x:v>27</x:v>
      </x:c>
      <x:c r="B22" s="3" t="s">
        <x:v>28</x:v>
      </x:c>
      <x:c r="C22" s="4" t="s">
        <x:v>79</x:v>
      </x:c>
      <x:c r="D22" s="5">
        <x:v>306</x:v>
      </x:c>
      <x:c r="E22" s="13">
        <x:v>10</x:v>
      </x:c>
      <x:c r="F22" s="13">
        <x:v>10</x:v>
      </x:c>
      <x:c r="G22" s="13">
        <x:v>10</x:v>
      </x:c>
      <x:c r="H22" s="13">
        <x:v>10</x:v>
      </x:c>
      <x:c r="I22" s="13">
        <x:v>10</x:v>
      </x:c>
      <x:c r="J22" s="13">
        <x:v>10</x:v>
      </x:c>
      <x:c r="K22" s="13">
        <x:v>10</x:v>
      </x:c>
      <x:c r="L22" s="13">
        <x:v>10</x:v>
      </x:c>
      <x:c r="M22" s="13">
        <x:v>11</x:v>
      </x:c>
      <x:c r="N22" s="13">
        <x:v>11</x:v>
      </x:c>
      <x:c r="O22" s="13">
        <x:v>10</x:v>
      </x:c>
      <x:c r="P22" s="13">
        <x:v>10</x:v>
      </x:c>
      <x:c r="Q22" s="13" t="n">
        <x:f>COUNT(E22:P22)</x:f>
        <x:v>12</x:v>
      </x:c>
      <x:c r="R22" s="13" t="n">
        <x:f>SUM(E22:P22)</x:f>
        <x:v>122</x:v>
      </x:c>
      <x:c r="S22" s="14" t="n">
        <x:f>IF(Q22&gt;0,R22/Q22,"")</x:f>
        <x:v>10.166666666666666</x:v>
      </x:c>
      <x:c r="T22" s="15">
        <x:v>1530283</x:v>
      </x:c>
      <x:c r="U22" s="15">
        <x:v>0</x:v>
      </x:c>
      <x:c r="V22" s="14">
        <x:v>23863560</x:v>
      </x:c>
      <x:c r="W22" s="14" t="n">
        <x:f>IF(AND(Q22&gt;0,S22&gt;0,V22&lt;&gt;""),V22/S22/Q22,"")</x:f>
        <x:v>195602.9508196721</x:v>
      </x:c>
      <x:c r="X22" s="3" t="s">
        <x:v>80</x:v>
      </x:c>
    </x:row>
    <x:row r="23">
      <x:c r="A23" s="12" t="s">
        <x:v>27</x:v>
      </x:c>
      <x:c r="B23" s="3" t="s">
        <x:v>28</x:v>
      </x:c>
      <x:c r="C23" s="4" t="s">
        <x:v>81</x:v>
      </x:c>
      <x:c r="D23" s="5">
        <x:v>306</x:v>
      </x:c>
      <x:c r="E23" s="13">
        <x:v>3</x:v>
      </x:c>
      <x:c r="F23" s="13">
        <x:v>3</x:v>
      </x:c>
      <x:c r="G23" s="13">
        <x:v>3</x:v>
      </x:c>
      <x:c r="H23" s="13">
        <x:v>3</x:v>
      </x:c>
      <x:c r="I23" s="13">
        <x:v>2</x:v>
      </x:c>
      <x:c r="J23" s="13">
        <x:v>2</x:v>
      </x:c>
      <x:c r="K23" s="13">
        <x:v>3</x:v>
      </x:c>
      <x:c r="L23" s="13">
        <x:v>2</x:v>
      </x:c>
      <x:c r="M23" s="13">
        <x:v>2</x:v>
      </x:c>
      <x:c r="N23" s="13">
        <x:v>2</x:v>
      </x:c>
      <x:c r="O23" s="13">
        <x:v>1</x:v>
      </x:c>
      <x:c r="P23" s="13">
        <x:v>1</x:v>
      </x:c>
      <x:c r="Q23" s="13" t="n">
        <x:f>COUNT(E23:P23)</x:f>
        <x:v>12</x:v>
      </x:c>
      <x:c r="R23" s="13" t="n">
        <x:f>SUM(E23:P23)</x:f>
        <x:v>27</x:v>
      </x:c>
      <x:c r="S23" s="14" t="n">
        <x:f>IF(Q23&gt;0,R23/Q23,"")</x:f>
        <x:v>2.25</x:v>
      </x:c>
      <x:c r="T23" s="15">
        <x:v>300739</x:v>
      </x:c>
      <x:c r="U23" s="15">
        <x:v>269804</x:v>
      </x:c>
      <x:c r="V23" s="14">
        <x:v>5270000</x:v>
      </x:c>
      <x:c r="W23" s="14" t="n">
        <x:f>IF(AND(Q23&gt;0,S23&gt;0,V23&lt;&gt;""),V23/S23/Q23,"")</x:f>
        <x:v>195185.18518518517</x:v>
      </x:c>
      <x:c r="X23" s="3" t="s">
        <x:v>82</x:v>
      </x:c>
    </x:row>
    <x:row r="24">
      <x:c r="A24" s="12" t="s">
        <x:v>83</x:v>
      </x:c>
      <x:c r="B24" s="3" t="s">
        <x:v>84</x:v>
      </x:c>
      <x:c r="C24" s="4" t="s">
        <x:v>85</x:v>
      </x:c>
      <x:c r="D24" s="5">
        <x:v>306</x:v>
      </x:c>
      <x:c r="E24" s="13">
        <x:v>54</x:v>
      </x:c>
      <x:c r="F24" s="13">
        <x:v>51</x:v>
      </x:c>
      <x:c r="G24" s="13">
        <x:v>54</x:v>
      </x:c>
      <x:c r="H24" s="13">
        <x:v>52</x:v>
      </x:c>
      <x:c r="I24" s="13">
        <x:v>52</x:v>
      </x:c>
      <x:c r="J24" s="13">
        <x:v>43</x:v>
      </x:c>
      <x:c r="K24" s="13">
        <x:v>37</x:v>
      </x:c>
      <x:c r="L24" s="13">
        <x:v>40</x:v>
      </x:c>
      <x:c r="M24" s="13">
        <x:v>53</x:v>
      </x:c>
      <x:c r="N24" s="13">
        <x:v>56</x:v>
      </x:c>
      <x:c r="O24" s="13">
        <x:v>56</x:v>
      </x:c>
      <x:c r="P24" s="13">
        <x:v>56</x:v>
      </x:c>
      <x:c r="Q24" s="13" t="n">
        <x:f>COUNT(E24:P24)</x:f>
        <x:v>12</x:v>
      </x:c>
      <x:c r="R24" s="13" t="n">
        <x:f>SUM(E24:P24)</x:f>
        <x:v>604</x:v>
      </x:c>
      <x:c r="S24" s="14" t="n">
        <x:f>IF(Q24&gt;0,R24/Q24,"")</x:f>
        <x:v>50.333333333333336</x:v>
      </x:c>
      <x:c r="T24" s="15">
        <x:v>6812854</x:v>
      </x:c>
      <x:c r="U24" s="15">
        <x:v>5422724</x:v>
      </x:c>
      <x:c r="V24" s="14">
        <x:v>117114229</x:v>
      </x:c>
      <x:c r="W24" s="14" t="n">
        <x:f>IF(AND(Q24&gt;0,S24&gt;0,V24&lt;&gt;""),V24/S24/Q24,"")</x:f>
        <x:v>193897.73013245032</x:v>
      </x:c>
      <x:c r="X24" s="3" t="s">
        <x:v>86</x:v>
      </x:c>
    </x:row>
    <x:row r="25">
      <x:c r="A25" s="12" t="s">
        <x:v>87</x:v>
      </x:c>
      <x:c r="B25" s="3" t="s">
        <x:v>88</x:v>
      </x:c>
      <x:c r="C25" s="4" t="s">
        <x:v>89</x:v>
      </x:c>
      <x:c r="D25" s="5">
        <x:v>306</x:v>
      </x:c>
      <x:c r="E25" s="13">
        <x:v>13</x:v>
      </x:c>
      <x:c r="F25" s="13">
        <x:v>15</x:v>
      </x:c>
      <x:c r="G25" s="13">
        <x:v>13</x:v>
      </x:c>
      <x:c r="H25" s="13">
        <x:v>13</x:v>
      </x:c>
      <x:c r="I25" s="13">
        <x:v>13</x:v>
      </x:c>
      <x:c r="J25" s="13">
        <x:v>13</x:v>
      </x:c>
      <x:c r="K25" s="13">
        <x:v>13</x:v>
      </x:c>
      <x:c r="L25" s="13">
        <x:v>13</x:v>
      </x:c>
      <x:c r="M25" s="13">
        <x:v>13</x:v>
      </x:c>
      <x:c r="N25" s="13">
        <x:v>14</x:v>
      </x:c>
      <x:c r="O25" s="13">
        <x:v>15</x:v>
      </x:c>
      <x:c r="P25" s="13">
        <x:v>13</x:v>
      </x:c>
      <x:c r="Q25" s="13" t="n">
        <x:f>COUNT(E25:P25)</x:f>
        <x:v>12</x:v>
      </x:c>
      <x:c r="R25" s="13" t="n">
        <x:f>SUM(E25:P25)</x:f>
        <x:v>161</x:v>
      </x:c>
      <x:c r="S25" s="14" t="n">
        <x:f>IF(Q25&gt;0,R25/Q25,"")</x:f>
        <x:v>13.416666666666666</x:v>
      </x:c>
      <x:c r="T25" s="15">
        <x:v>2050856</x:v>
      </x:c>
      <x:c r="U25" s="15">
        <x:v>1618259</x:v>
      </x:c>
      <x:c r="V25" s="14">
        <x:v>31097012</x:v>
      </x:c>
      <x:c r="W25" s="14" t="n">
        <x:f>IF(AND(Q25&gt;0,S25&gt;0,V25&lt;&gt;""),V25/S25/Q25,"")</x:f>
        <x:v>193149.14285714287</x:v>
      </x:c>
      <x:c r="X25" s="3" t="s">
        <x:v>90</x:v>
      </x:c>
    </x:row>
    <x:row r="26">
      <x:c r="A26" s="12" t="s">
        <x:v>19</x:v>
      </x:c>
      <x:c r="B26" s="3" t="s">
        <x:v>20</x:v>
      </x:c>
      <x:c r="C26" s="4" t="s">
        <x:v>91</x:v>
      </x:c>
      <x:c r="D26" s="5">
        <x:v>306</x:v>
      </x:c>
      <x:c r="E26" s="13">
        <x:v>14</x:v>
      </x:c>
      <x:c r="F26" s="13">
        <x:v>14</x:v>
      </x:c>
      <x:c r="G26" s="13">
        <x:v>14</x:v>
      </x:c>
      <x:c r="H26" s="13">
        <x:v>13</x:v>
      </x:c>
      <x:c r="I26" s="13">
        <x:v>12</x:v>
      </x:c>
      <x:c r="J26" s="13">
        <x:v>10</x:v>
      </x:c>
      <x:c r="K26" s="13">
        <x:v>10</x:v>
      </x:c>
      <x:c r="L26" s="13">
        <x:v>10</x:v>
      </x:c>
      <x:c r="M26" s="13">
        <x:v>9</x:v>
      </x:c>
      <x:c r="N26" s="13">
        <x:v>12</x:v>
      </x:c>
      <x:c r="O26" s="13">
        <x:v>13</x:v>
      </x:c>
      <x:c r="P26" s="13">
        <x:v>12</x:v>
      </x:c>
      <x:c r="Q26" s="13" t="n">
        <x:f>COUNT(E26:P26)</x:f>
        <x:v>12</x:v>
      </x:c>
      <x:c r="R26" s="13" t="n">
        <x:f>SUM(E26:P26)</x:f>
        <x:v>143</x:v>
      </x:c>
      <x:c r="S26" s="14" t="n">
        <x:f>IF(Q26&gt;0,R26/Q26,"")</x:f>
        <x:v>11.916666666666666</x:v>
      </x:c>
      <x:c r="T26" s="15">
        <x:v>1495672</x:v>
      </x:c>
      <x:c r="U26" s="15">
        <x:v>1421822</x:v>
      </x:c>
      <x:c r="V26" s="14">
        <x:v>27389901</x:v>
      </x:c>
      <x:c r="W26" s="14" t="n">
        <x:f>IF(AND(Q26&gt;0,S26&gt;0,V26&lt;&gt;""),V26/S26/Q26,"")</x:f>
        <x:v>191537.76923076925</x:v>
      </x:c>
      <x:c r="X26" s="3" t="s">
        <x:v>92</x:v>
      </x:c>
    </x:row>
    <x:row r="27">
      <x:c r="A27" s="12" t="s">
        <x:v>93</x:v>
      </x:c>
      <x:c r="B27" s="3" t="s">
        <x:v>94</x:v>
      </x:c>
      <x:c r="C27" s="4" t="s">
        <x:v>95</x:v>
      </x:c>
      <x:c r="D27" s="5">
        <x:v>306</x:v>
      </x:c>
      <x:c r="E27" s="13">
        <x:v>40</x:v>
      </x:c>
      <x:c r="F27" s="13">
        <x:v>39</x:v>
      </x:c>
      <x:c r="G27" s="13">
        <x:v>39</x:v>
      </x:c>
      <x:c r="H27" s="13">
        <x:v>40</x:v>
      </x:c>
      <x:c r="I27" s="13">
        <x:v>39</x:v>
      </x:c>
      <x:c r="J27" s="13">
        <x:v>39</x:v>
      </x:c>
      <x:c r="K27" s="13">
        <x:v>37</x:v>
      </x:c>
      <x:c r="L27" s="13">
        <x:v>35</x:v>
      </x:c>
      <x:c r="M27" s="13">
        <x:v>37</x:v>
      </x:c>
      <x:c r="N27" s="13">
        <x:v>36</x:v>
      </x:c>
      <x:c r="O27" s="13">
        <x:v>35</x:v>
      </x:c>
      <x:c r="P27" s="13">
        <x:v>34</x:v>
      </x:c>
      <x:c r="Q27" s="13" t="n">
        <x:f>COUNT(E27:P27)</x:f>
        <x:v>12</x:v>
      </x:c>
      <x:c r="R27" s="13" t="n">
        <x:f>SUM(E27:P27)</x:f>
        <x:v>450</x:v>
      </x:c>
      <x:c r="S27" s="14" t="n">
        <x:f>IF(Q27&gt;0,R27/Q27,"")</x:f>
        <x:v>37.5</x:v>
      </x:c>
      <x:c r="T27" s="15">
        <x:v>5012851</x:v>
      </x:c>
      <x:c r="U27" s="15">
        <x:v>4588637</x:v>
      </x:c>
      <x:c r="V27" s="14">
        <x:v>86163709</x:v>
      </x:c>
      <x:c r="W27" s="14" t="n">
        <x:f>IF(AND(Q27&gt;0,S27&gt;0,V27&lt;&gt;""),V27/S27/Q27,"")</x:f>
        <x:v>191474.9088888889</x:v>
      </x:c>
      <x:c r="X27" s="3" t="s">
        <x:v>96</x:v>
      </x:c>
    </x:row>
    <x:row r="28">
      <x:c r="A28" s="12" t="s">
        <x:v>97</x:v>
      </x:c>
      <x:c r="B28" s="3" t="s">
        <x:v>98</x:v>
      </x:c>
      <x:c r="C28" s="4" t="s">
        <x:v>99</x:v>
      </x:c>
      <x:c r="D28" s="5">
        <x:v>306</x:v>
      </x:c>
      <x:c r="E28" s="13">
        <x:v>188</x:v>
      </x:c>
      <x:c r="F28" s="13">
        <x:v>206</x:v>
      </x:c>
      <x:c r="G28" s="13">
        <x:v>210</x:v>
      </x:c>
      <x:c r="H28" s="13">
        <x:v>194</x:v>
      </x:c>
      <x:c r="I28" s="13">
        <x:v>194</x:v>
      </x:c>
      <x:c r="J28" s="13">
        <x:v>182</x:v>
      </x:c>
      <x:c r="K28" s="13">
        <x:v>174</x:v>
      </x:c>
      <x:c r="L28" s="13">
        <x:v>173</x:v>
      </x:c>
      <x:c r="M28" s="13">
        <x:v>137</x:v>
      </x:c>
      <x:c r="N28" s="13">
        <x:v>146</x:v>
      </x:c>
      <x:c r="O28" s="13">
        <x:v>166</x:v>
      </x:c>
      <x:c r="P28" s="13">
        <x:v>141</x:v>
      </x:c>
      <x:c r="Q28" s="13" t="n">
        <x:f>COUNT(E28:P28)</x:f>
        <x:v>12</x:v>
      </x:c>
      <x:c r="R28" s="13" t="n">
        <x:f>SUM(E28:P28)</x:f>
        <x:v>2111</x:v>
      </x:c>
      <x:c r="S28" s="14" t="n">
        <x:f>IF(Q28&gt;0,R28/Q28,"")</x:f>
        <x:v>175.91666666666666</x:v>
      </x:c>
      <x:c r="T28" s="15">
        <x:v>23780245</x:v>
      </x:c>
      <x:c r="U28" s="15">
        <x:v>23047826</x:v>
      </x:c>
      <x:c r="V28" s="14">
        <x:v>402125849</x:v>
      </x:c>
      <x:c r="W28" s="14" t="n">
        <x:f>IF(AND(Q28&gt;0,S28&gt;0,V28&lt;&gt;""),V28/S28/Q28,"")</x:f>
        <x:v>190490.69114163905</x:v>
      </x:c>
      <x:c r="X28" s="3" t="s">
        <x:v>100</x:v>
      </x:c>
    </x:row>
  </x:sheetData>
  <x:mergeCells>
    <x:mergeCell ref="E1:G1"/>
    <x:mergeCell ref="H1:J1"/>
    <x:mergeCell ref="K1:M1"/>
    <x:mergeCell ref="N1:P1"/>
  </x:mergeCells>
  <x:pageMargins left="0.7" right="0.7" top="0.75" bottom="0.75" header="0.3" footer="0.3"/>
</x:worksheet>
</file>